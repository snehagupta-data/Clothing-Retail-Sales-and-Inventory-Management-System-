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neha\Downloads\"/>
    </mc:Choice>
  </mc:AlternateContent>
  <xr:revisionPtr revIDLastSave="0" documentId="13_ncr:1_{49458969-BC35-4F45-A7D2-F4B2BF5E41B7}" xr6:coauthVersionLast="47" xr6:coauthVersionMax="47" xr10:uidLastSave="{00000000-0000-0000-0000-000000000000}"/>
  <bookViews>
    <workbookView xWindow="-108" yWindow="-108" windowWidth="23256" windowHeight="12456" xr2:uid="{00000000-000D-0000-FFFF-FFFF00000000}"/>
  </bookViews>
  <sheets>
    <sheet name="sales_entry" sheetId="2" r:id="rId1"/>
    <sheet name="pivot" sheetId="9" state="hidden" r:id="rId2"/>
    <sheet name="product_data" sheetId="1" r:id="rId3"/>
    <sheet name="Report" sheetId="4" r:id="rId4"/>
  </sheets>
  <definedNames>
    <definedName name="_xlcn.WorksheetConnection_clothing_store_project.xlsxproduct_data1" hidden="1">product_data[]</definedName>
    <definedName name="_xlcn.WorksheetConnection_clothing_store_project.xlsxsales_data1" hidden="1">sales_data[]</definedName>
    <definedName name="Slicer_Category">#N/A</definedName>
    <definedName name="Slicer_Color">#N/A</definedName>
    <definedName name="Slicer_Size">#N/A</definedName>
  </definedNames>
  <calcPr calcId="191029"/>
  <pivotCaches>
    <pivotCache cacheId="241" r:id="rId5"/>
    <pivotCache cacheId="244" r:id="rId6"/>
    <pivotCache cacheId="247" r:id="rId7"/>
    <pivotCache cacheId="250" r:id="rId8"/>
    <pivotCache cacheId="253" r:id="rId9"/>
    <pivotCache cacheId="263" r:id="rId10"/>
    <pivotCache cacheId="269" r:id="rId11"/>
    <pivotCache cacheId="272" r:id="rId12"/>
    <pivotCache cacheId="275" r:id="rId13"/>
  </pivotCaches>
  <extLst>
    <ext xmlns:x14="http://schemas.microsoft.com/office/spreadsheetml/2009/9/main" uri="{876F7934-8845-4945-9796-88D515C7AA90}">
      <x14:pivotCaches>
        <pivotCache cacheId="256"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clothing_store_project.xlsx!sales_data"/>
          <x15:modelTable id="product_data" name="product_data" connection="WorksheetConnection_clothing_store_project.xlsx!product_data"/>
        </x15:modelTables>
        <x15:modelRelationships>
          <x15:modelRelationship fromTable="sales_data" fromColumn="Product ID" toTable="product_data"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G5" i="4"/>
  <c r="H5" i="4"/>
  <c r="G6" i="4"/>
  <c r="H6" i="4"/>
  <c r="G7" i="4"/>
  <c r="H7" i="4"/>
  <c r="G8" i="4"/>
  <c r="H8" i="4"/>
  <c r="G9" i="4"/>
  <c r="H9" i="4"/>
  <c r="E8" i="4"/>
  <c r="E9" i="4"/>
  <c r="D8" i="4"/>
  <c r="D9"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D2" i="2"/>
  <c r="D3" i="2"/>
  <c r="D4" i="2"/>
  <c r="E4" i="2" s="1"/>
  <c r="D5" i="2"/>
  <c r="E5" i="2" s="1"/>
  <c r="D6" i="2"/>
  <c r="D7" i="2"/>
  <c r="E7" i="2" s="1"/>
  <c r="D8" i="2"/>
  <c r="E8" i="2" s="1"/>
  <c r="D9" i="2"/>
  <c r="E9" i="2" s="1"/>
  <c r="D10" i="2"/>
  <c r="E10" i="2" s="1"/>
  <c r="D11" i="2"/>
  <c r="D12" i="2"/>
  <c r="E12" i="2" s="1"/>
  <c r="D13" i="2"/>
  <c r="E13" i="2" s="1"/>
  <c r="D14" i="2"/>
  <c r="E14" i="2" s="1"/>
  <c r="D15" i="2"/>
  <c r="E15" i="2" s="1"/>
  <c r="D16" i="2"/>
  <c r="E16" i="2" s="1"/>
  <c r="D17" i="2"/>
  <c r="E17" i="2" s="1"/>
  <c r="D18" i="2"/>
  <c r="E18" i="2" s="1"/>
  <c r="D19" i="2"/>
  <c r="D20" i="2"/>
  <c r="E20" i="2" s="1"/>
  <c r="D21" i="2"/>
  <c r="E21" i="2" s="1"/>
  <c r="D22" i="2"/>
  <c r="E22" i="2" s="1"/>
  <c r="D23" i="2"/>
  <c r="E23" i="2" s="1"/>
  <c r="D24" i="2"/>
  <c r="E24" i="2" s="1"/>
  <c r="D25" i="2"/>
  <c r="E25" i="2" s="1"/>
  <c r="D26" i="2"/>
  <c r="D27" i="2"/>
  <c r="E27" i="2" s="1"/>
  <c r="D28" i="2"/>
  <c r="E28" i="2" s="1"/>
  <c r="D29" i="2"/>
  <c r="E29" i="2" s="1"/>
  <c r="D30" i="2"/>
  <c r="E30" i="2" s="1"/>
  <c r="D31" i="2"/>
  <c r="E31" i="2" s="1"/>
  <c r="D32" i="2"/>
  <c r="E32" i="2" s="1"/>
  <c r="D33" i="2"/>
  <c r="E33" i="2" s="1"/>
  <c r="D34" i="2"/>
  <c r="D35" i="2"/>
  <c r="D36" i="2"/>
  <c r="E36" i="2" s="1"/>
  <c r="D37" i="2"/>
  <c r="E37" i="2" s="1"/>
  <c r="D38" i="2"/>
  <c r="E38" i="2" s="1"/>
  <c r="D39" i="2"/>
  <c r="E39" i="2" s="1"/>
  <c r="D40" i="2"/>
  <c r="E40" i="2" s="1"/>
  <c r="D41" i="2"/>
  <c r="E41" i="2" s="1"/>
  <c r="D42" i="2"/>
  <c r="E42" i="2" s="1"/>
  <c r="D43" i="2"/>
  <c r="D44" i="2"/>
  <c r="E44" i="2" s="1"/>
  <c r="D45" i="2"/>
  <c r="E45" i="2" s="1"/>
  <c r="D46" i="2"/>
  <c r="E46" i="2" s="1"/>
  <c r="D47" i="2"/>
  <c r="E47" i="2" s="1"/>
  <c r="D48" i="2"/>
  <c r="E48" i="2" s="1"/>
  <c r="D49" i="2"/>
  <c r="E49" i="2" s="1"/>
  <c r="D50" i="2"/>
  <c r="E50" i="2" s="1"/>
  <c r="D51" i="2"/>
  <c r="E51" i="2" s="1"/>
  <c r="D52" i="2"/>
  <c r="E52" i="2" s="1"/>
  <c r="D53" i="2"/>
  <c r="E53" i="2" s="1"/>
  <c r="D54" i="2"/>
  <c r="E54" i="2" s="1"/>
  <c r="D55" i="2"/>
  <c r="E55" i="2" s="1"/>
  <c r="D56" i="2"/>
  <c r="E56" i="2" s="1"/>
  <c r="D57" i="2"/>
  <c r="E57" i="2" s="1"/>
  <c r="D58" i="2"/>
  <c r="D59" i="2"/>
  <c r="D60" i="2"/>
  <c r="E60" i="2" s="1"/>
  <c r="D61" i="2"/>
  <c r="E61" i="2" s="1"/>
  <c r="E3" i="2"/>
  <c r="E6"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E59" i="2"/>
  <c r="E58" i="2"/>
  <c r="E43" i="2"/>
  <c r="E35" i="2"/>
  <c r="E34" i="2"/>
  <c r="E26" i="2"/>
  <c r="E19" i="2"/>
  <c r="E11"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4B71E8-2064-4DCA-A329-4466409BBE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186D535-7559-40A7-AD38-C7E0BE8B536D}" name="WorksheetConnection_clothing_store_project.xlsx!product_data" type="102" refreshedVersion="8" minRefreshableVersion="5">
    <extLst>
      <ext xmlns:x15="http://schemas.microsoft.com/office/spreadsheetml/2010/11/main" uri="{DE250136-89BD-433C-8126-D09CA5730AF9}">
        <x15:connection id="product_data">
          <x15:rangePr sourceName="_xlcn.WorksheetConnection_clothing_store_project.xlsxproduct_data1"/>
        </x15:connection>
      </ext>
    </extLst>
  </connection>
  <connection id="3" xr16:uid="{3DA1D424-AC9A-4E39-9A68-8202B8B702DE}" name="WorksheetConnection_clothing_store_project.xlsx!sales_data" type="102" refreshedVersion="8" minRefreshableVersion="5">
    <extLst>
      <ext xmlns:x15="http://schemas.microsoft.com/office/spreadsheetml/2010/11/main" uri="{DE250136-89BD-433C-8126-D09CA5730AF9}">
        <x15:connection id="sales_data">
          <x15:rangePr sourceName="_xlcn.WorksheetConnection_clothing_store_project.xlsxsales_data1"/>
        </x15:connection>
      </ext>
    </extLst>
  </connection>
</connections>
</file>

<file path=xl/sharedStrings.xml><?xml version="1.0" encoding="utf-8"?>
<sst xmlns="http://schemas.openxmlformats.org/spreadsheetml/2006/main" count="358" uniqueCount="134">
  <si>
    <t>Product ID</t>
  </si>
  <si>
    <t>Category</t>
  </si>
  <si>
    <t>Item Name</t>
  </si>
  <si>
    <t>Size</t>
  </si>
  <si>
    <t>Color</t>
  </si>
  <si>
    <t>Cost Price</t>
  </si>
  <si>
    <t>Selling Price</t>
  </si>
  <si>
    <t>Stock</t>
  </si>
  <si>
    <t>Low Stock Alert</t>
  </si>
  <si>
    <t>P001</t>
  </si>
  <si>
    <t>Kurti</t>
  </si>
  <si>
    <t>Floral Kurti</t>
  </si>
  <si>
    <t>S</t>
  </si>
  <si>
    <t>Blue</t>
  </si>
  <si>
    <t>P002</t>
  </si>
  <si>
    <t>Printed Kurti</t>
  </si>
  <si>
    <t>M</t>
  </si>
  <si>
    <t>Red</t>
  </si>
  <si>
    <t>P003</t>
  </si>
  <si>
    <t>Cotton Kurti</t>
  </si>
  <si>
    <t>L</t>
  </si>
  <si>
    <t>Green</t>
  </si>
  <si>
    <t>P004</t>
  </si>
  <si>
    <t>Designer Kurti</t>
  </si>
  <si>
    <t>XL</t>
  </si>
  <si>
    <t>Black</t>
  </si>
  <si>
    <t>P005</t>
  </si>
  <si>
    <t>Shirt</t>
  </si>
  <si>
    <t>Formal Shirt</t>
  </si>
  <si>
    <t>White</t>
  </si>
  <si>
    <t>P006</t>
  </si>
  <si>
    <t>Casual Shirt</t>
  </si>
  <si>
    <t>P007</t>
  </si>
  <si>
    <t>Checked Shirt</t>
  </si>
  <si>
    <t>P008</t>
  </si>
  <si>
    <t>Linen Shirt</t>
  </si>
  <si>
    <t>Grey</t>
  </si>
  <si>
    <t>P009</t>
  </si>
  <si>
    <t>Jeans</t>
  </si>
  <si>
    <t>Slim Fit Jeans</t>
  </si>
  <si>
    <t>P010</t>
  </si>
  <si>
    <t>Regular Jeans</t>
  </si>
  <si>
    <t>P011</t>
  </si>
  <si>
    <t>Stretch Jeans</t>
  </si>
  <si>
    <t>P012</t>
  </si>
  <si>
    <t>Ripped Jeans</t>
  </si>
  <si>
    <t>P013</t>
  </si>
  <si>
    <t>Kidswear</t>
  </si>
  <si>
    <t>Boys T-Shirt</t>
  </si>
  <si>
    <t>Yellow</t>
  </si>
  <si>
    <t>P014</t>
  </si>
  <si>
    <t>Girls Frock</t>
  </si>
  <si>
    <t>Pink</t>
  </si>
  <si>
    <t>P015</t>
  </si>
  <si>
    <t>Kids Shorts</t>
  </si>
  <si>
    <t>P016</t>
  </si>
  <si>
    <t>Hoodie</t>
  </si>
  <si>
    <t>P017</t>
  </si>
  <si>
    <t>Silk Kurti</t>
  </si>
  <si>
    <t>Purple</t>
  </si>
  <si>
    <t>P018</t>
  </si>
  <si>
    <t>Long Kurti</t>
  </si>
  <si>
    <t>Maroon</t>
  </si>
  <si>
    <t>P019</t>
  </si>
  <si>
    <t>Denim Shirt</t>
  </si>
  <si>
    <t>P020</t>
  </si>
  <si>
    <t>Party Shirt</t>
  </si>
  <si>
    <t>P021</t>
  </si>
  <si>
    <t>Skinny Jeans</t>
  </si>
  <si>
    <t>P022</t>
  </si>
  <si>
    <t>Bootcut Jeans</t>
  </si>
  <si>
    <t>P023</t>
  </si>
  <si>
    <t>Kids Jacket</t>
  </si>
  <si>
    <t>P024</t>
  </si>
  <si>
    <t>Cartoon Tee</t>
  </si>
  <si>
    <t>P025</t>
  </si>
  <si>
    <t>Ethnic Kurti</t>
  </si>
  <si>
    <t>Orange</t>
  </si>
  <si>
    <t>P026</t>
  </si>
  <si>
    <t>Office Shirt</t>
  </si>
  <si>
    <t>P027</t>
  </si>
  <si>
    <t>Classic Jeans</t>
  </si>
  <si>
    <t>P028</t>
  </si>
  <si>
    <t>Baby Set</t>
  </si>
  <si>
    <t>P029</t>
  </si>
  <si>
    <t>Party Kurti</t>
  </si>
  <si>
    <t>Gold</t>
  </si>
  <si>
    <t>P030</t>
  </si>
  <si>
    <t>Summer Shirt</t>
  </si>
  <si>
    <t>Date</t>
  </si>
  <si>
    <t>Quantity Sold</t>
  </si>
  <si>
    <t>Total Amount</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</si>
  <si>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</si>
  <si>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</si>
  <si>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</si>
  <si>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</si>
  <si>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</si>
  <si>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</si>
  <si>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</si>
  <si>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</si>
  <si>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</si>
  <si>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</si>
  <si>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</si>
  <si>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</si>
  <si>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</si>
  <si>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</si>
  <si>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</si>
  <si>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</si>
  <si>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</si>
  <si>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</si>
  <si>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</si>
  <si>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</si>
  <si>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</si>
  <si>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</si>
  <si>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</si>
  <si>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</si>
  <si>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</si>
  <si>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</si>
  <si>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</si>
  <si>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</si>
  <si>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</si>
  <si>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</si>
  <si>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Updated Stock</t>
  </si>
  <si>
    <t>Row Labels</t>
  </si>
  <si>
    <t>Grand Total</t>
  </si>
  <si>
    <t>Sum of Total Amount</t>
  </si>
  <si>
    <t xml:space="preserve">Clothing Retail Sales &amp; Inventory Management System 
</t>
  </si>
  <si>
    <t>Sum of Quantity Sold</t>
  </si>
  <si>
    <t>Item</t>
  </si>
  <si>
    <t>Total Revenue</t>
  </si>
  <si>
    <t>Total Sold</t>
  </si>
  <si>
    <t>Avg Amount per Transaction</t>
  </si>
  <si>
    <t>Item with Low Stocks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</si>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</sst>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7"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sz val="14"/>
      <color theme="1"/>
      <name val="Calibri"/>
      <family val="2"/>
      <scheme val="minor"/>
    </font>
    <font>
      <b/>
      <sz val="22"/>
      <color theme="1"/>
      <name val="Calibri"/>
      <family val="2"/>
      <scheme val="minor"/>
    </font>
  </fonts>
  <fills count="10">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rgb="FF00B0F0"/>
        <bgColor indexed="64"/>
      </patternFill>
    </fill>
    <fill>
      <patternFill patternType="solid">
        <fgColor rgb="FF33CCFF"/>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0" fontId="0" fillId="0" borderId="1" xfId="0" applyBorder="1"/>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3" fillId="2" borderId="4" xfId="0" applyFont="1" applyFill="1" applyBorder="1"/>
    <xf numFmtId="0" fontId="3" fillId="2" borderId="5" xfId="0" applyFont="1" applyFill="1" applyBorder="1"/>
    <xf numFmtId="0" fontId="3" fillId="2" borderId="6" xfId="0" applyFont="1" applyFill="1" applyBorder="1"/>
    <xf numFmtId="0" fontId="2" fillId="0" borderId="7" xfId="0" applyFont="1" applyBorder="1"/>
    <xf numFmtId="0" fontId="2" fillId="0" borderId="8" xfId="0" applyFont="1" applyBorder="1"/>
    <xf numFmtId="0" fontId="2" fillId="0" borderId="9" xfId="0" applyFont="1" applyBorder="1"/>
    <xf numFmtId="0" fontId="0" fillId="0" borderId="9" xfId="0" applyBorder="1"/>
    <xf numFmtId="0" fontId="0" fillId="3" borderId="5" xfId="0" applyFill="1" applyBorder="1"/>
    <xf numFmtId="0" fontId="0" fillId="3" borderId="6" xfId="0" applyFill="1" applyBorder="1"/>
    <xf numFmtId="0" fontId="0" fillId="0" borderId="3" xfId="0" applyBorder="1"/>
    <xf numFmtId="0" fontId="0" fillId="0" borderId="8" xfId="0" applyBorder="1"/>
    <xf numFmtId="0" fontId="0" fillId="0" borderId="0" xfId="0" pivotButton="1"/>
    <xf numFmtId="0" fontId="0" fillId="0" borderId="0" xfId="0" applyAlignment="1">
      <alignment horizontal="left"/>
    </xf>
    <xf numFmtId="1" fontId="3" fillId="2" borderId="5" xfId="0" applyNumberFormat="1" applyFont="1" applyFill="1" applyBorder="1"/>
    <xf numFmtId="1" fontId="2" fillId="0" borderId="1" xfId="0" applyNumberFormat="1" applyFont="1" applyBorder="1"/>
    <xf numFmtId="1" fontId="2" fillId="0" borderId="8" xfId="0" applyNumberFormat="1" applyFont="1" applyBorder="1"/>
    <xf numFmtId="1" fontId="2" fillId="0" borderId="0" xfId="0" applyNumberFormat="1" applyFont="1"/>
    <xf numFmtId="1" fontId="2" fillId="0" borderId="5" xfId="0" applyNumberFormat="1" applyFont="1" applyBorder="1"/>
    <xf numFmtId="164" fontId="0" fillId="3" borderId="4" xfId="0" applyNumberFormat="1" applyFill="1" applyBorder="1"/>
    <xf numFmtId="164" fontId="0" fillId="0" borderId="2" xfId="0" applyNumberFormat="1" applyBorder="1"/>
    <xf numFmtId="164" fontId="0" fillId="0" borderId="7" xfId="0" applyNumberFormat="1" applyBorder="1"/>
    <xf numFmtId="164" fontId="0" fillId="0" borderId="0" xfId="0" applyNumberFormat="1"/>
    <xf numFmtId="0" fontId="0" fillId="4" borderId="0" xfId="0" applyFill="1"/>
    <xf numFmtId="0" fontId="0" fillId="4" borderId="1" xfId="0" applyFill="1" applyBorder="1"/>
    <xf numFmtId="0" fontId="0" fillId="5" borderId="0" xfId="0" applyFill="1"/>
    <xf numFmtId="0" fontId="6" fillId="5" borderId="0" xfId="0" applyFont="1" applyFill="1" applyAlignment="1">
      <alignment vertical="top" wrapText="1"/>
    </xf>
    <xf numFmtId="0" fontId="0" fillId="6" borderId="1" xfId="0" applyFill="1" applyBorder="1"/>
    <xf numFmtId="0" fontId="3" fillId="4" borderId="1" xfId="0" applyFont="1" applyFill="1" applyBorder="1"/>
    <xf numFmtId="1" fontId="0" fillId="0" borderId="0" xfId="0" applyNumberFormat="1"/>
    <xf numFmtId="0" fontId="1" fillId="4" borderId="0" xfId="0" applyFont="1" applyFill="1"/>
    <xf numFmtId="1" fontId="3" fillId="4" borderId="0" xfId="0" applyNumberFormat="1" applyFont="1" applyFill="1" applyAlignment="1">
      <alignment horizontal="center" vertical="center"/>
    </xf>
    <xf numFmtId="0" fontId="5" fillId="9" borderId="1" xfId="0" applyFont="1" applyFill="1" applyBorder="1" applyAlignment="1">
      <alignment horizontal="center" vertical="center"/>
    </xf>
    <xf numFmtId="0" fontId="5" fillId="9" borderId="1" xfId="0" applyFont="1" applyFill="1" applyBorder="1"/>
    <xf numFmtId="0" fontId="6" fillId="7" borderId="0" xfId="0" applyFont="1" applyFill="1" applyAlignment="1">
      <alignment horizontal="center" vertical="top" wrapText="1"/>
    </xf>
    <xf numFmtId="0" fontId="3" fillId="8" borderId="3" xfId="0" applyFont="1" applyFill="1" applyBorder="1" applyAlignment="1">
      <alignment horizontal="center"/>
    </xf>
    <xf numFmtId="0" fontId="3" fillId="8" borderId="2" xfId="0" applyFont="1" applyFill="1" applyBorder="1" applyAlignment="1">
      <alignment horizontal="center"/>
    </xf>
    <xf numFmtId="0" fontId="0" fillId="0" borderId="0" xfId="0" applyNumberFormat="1"/>
  </cellXfs>
  <cellStyles count="1">
    <cellStyle name="Normal" xfId="0" builtinId="0"/>
  </cellStyles>
  <dxfs count="40">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theme="1"/>
        <name val="Calibri"/>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6" tint="0.39997558519241921"/>
        </patternFill>
      </fill>
      <border diagonalUp="0" diagonalDown="0" outline="0">
        <left style="thin">
          <color indexed="64"/>
        </left>
        <right style="thin">
          <color indexed="64"/>
        </right>
        <top/>
        <bottom/>
      </border>
    </dxf>
    <dxf>
      <numFmt numFmtId="1" formatCode="0"/>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4009]dd/mm/yyyy;@"/>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6" tint="0.59999389629810485"/>
        </patternFill>
      </fill>
      <border diagonalUp="0" diagonalDown="0">
        <left style="thin">
          <color indexed="64"/>
        </left>
        <right style="thin">
          <color indexed="64"/>
        </right>
        <top/>
        <bottom/>
        <vertical style="thin">
          <color indexed="64"/>
        </vertical>
        <horizontal style="thin">
          <color indexed="64"/>
        </horizontal>
      </border>
    </dxf>
  </dxfs>
  <tableStyles count="1" defaultTableStyle="TableStyleMedium9" defaultPivotStyle="PivotStyleLight16">
    <tableStyle name="Invisible" pivot="0" table="0" count="0" xr9:uid="{8929CC01-4240-47E6-BC23-DF6020FD389C}"/>
  </tableStyles>
  <colors>
    <mruColors>
      <color rgb="FF98CACE"/>
      <color rgb="FF66CCFF"/>
      <color rgb="FF33CCFF"/>
      <color rgb="FF26AF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[clothing_store_project.xlsx]pivot!PivotTable6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Daily</a:t>
            </a:r>
            <a:r>
              <a:rPr lang="en-US" sz="1400" b="1" baseline="0">
                <a:solidFill>
                  <a:schemeClr val="tx1"/>
                </a:solidFill>
              </a:rPr>
              <a:t> Revenue Trend</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rgbClr val="00B0F0"/>
              </a:solidFill>
              <a:round/>
            </a:ln>
            <a:effectLst/>
          </c:spPr>
          <c:marker>
            <c:symbol val="none"/>
          </c:marker>
          <c:cat>
            <c:strRef>
              <c:f>pivot!$A$4:$A$34</c:f>
              <c:strCache>
                <c:ptCount val="30"/>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pt idx="20">
                  <c:v>21-01-2026</c:v>
                </c:pt>
                <c:pt idx="21">
                  <c:v>22-01-2026</c:v>
                </c:pt>
                <c:pt idx="22">
                  <c:v>23-01-2026</c:v>
                </c:pt>
                <c:pt idx="23">
                  <c:v>24-01-2026</c:v>
                </c:pt>
                <c:pt idx="24">
                  <c:v>25-01-2026</c:v>
                </c:pt>
                <c:pt idx="25">
                  <c:v>26-01-2026</c:v>
                </c:pt>
                <c:pt idx="26">
                  <c:v>27-01-2026</c:v>
                </c:pt>
                <c:pt idx="27">
                  <c:v>28-01-2026</c:v>
                </c:pt>
                <c:pt idx="28">
                  <c:v>29-01-2026</c:v>
                </c:pt>
                <c:pt idx="29">
                  <c:v>30-01-2026</c:v>
                </c:pt>
              </c:strCache>
            </c:strRef>
          </c:cat>
          <c:val>
            <c:numRef>
              <c:f>pivot!$B$4:$B$34</c:f>
              <c:numCache>
                <c:formatCode>General</c:formatCode>
                <c:ptCount val="30"/>
                <c:pt idx="0">
                  <c:v>2497</c:v>
                </c:pt>
                <c:pt idx="1">
                  <c:v>4395</c:v>
                </c:pt>
                <c:pt idx="2">
                  <c:v>2747</c:v>
                </c:pt>
                <c:pt idx="3">
                  <c:v>2196</c:v>
                </c:pt>
                <c:pt idx="4">
                  <c:v>1947</c:v>
                </c:pt>
                <c:pt idx="5">
                  <c:v>2597</c:v>
                </c:pt>
                <c:pt idx="6">
                  <c:v>1997</c:v>
                </c:pt>
                <c:pt idx="7">
                  <c:v>2697</c:v>
                </c:pt>
                <c:pt idx="8">
                  <c:v>2298</c:v>
                </c:pt>
                <c:pt idx="9">
                  <c:v>1997</c:v>
                </c:pt>
                <c:pt idx="10">
                  <c:v>2797</c:v>
                </c:pt>
                <c:pt idx="11">
                  <c:v>1648</c:v>
                </c:pt>
                <c:pt idx="12">
                  <c:v>2297</c:v>
                </c:pt>
                <c:pt idx="13">
                  <c:v>3497</c:v>
                </c:pt>
                <c:pt idx="14">
                  <c:v>2446</c:v>
                </c:pt>
                <c:pt idx="15">
                  <c:v>1547</c:v>
                </c:pt>
                <c:pt idx="16">
                  <c:v>2597</c:v>
                </c:pt>
                <c:pt idx="17">
                  <c:v>1497</c:v>
                </c:pt>
                <c:pt idx="18">
                  <c:v>3247</c:v>
                </c:pt>
                <c:pt idx="19">
                  <c:v>1848</c:v>
                </c:pt>
                <c:pt idx="20">
                  <c:v>2597</c:v>
                </c:pt>
                <c:pt idx="21">
                  <c:v>1897</c:v>
                </c:pt>
                <c:pt idx="22">
                  <c:v>3347</c:v>
                </c:pt>
                <c:pt idx="23">
                  <c:v>2797</c:v>
                </c:pt>
                <c:pt idx="24">
                  <c:v>1998</c:v>
                </c:pt>
                <c:pt idx="25">
                  <c:v>2197</c:v>
                </c:pt>
                <c:pt idx="26">
                  <c:v>2697</c:v>
                </c:pt>
                <c:pt idx="27">
                  <c:v>2645</c:v>
                </c:pt>
                <c:pt idx="28">
                  <c:v>1898</c:v>
                </c:pt>
                <c:pt idx="29">
                  <c:v>2847</c:v>
                </c:pt>
              </c:numCache>
            </c:numRef>
          </c:val>
          <c:smooth val="0"/>
          <c:extLst>
            <c:ext xmlns:c16="http://schemas.microsoft.com/office/drawing/2014/chart" uri="{C3380CC4-5D6E-409C-BE32-E72D297353CC}">
              <c16:uniqueId val="{00000000-C844-4772-95F9-6452D07ECBEB}"/>
            </c:ext>
          </c:extLst>
        </c:ser>
        <c:dLbls>
          <c:showLegendKey val="0"/>
          <c:showVal val="0"/>
          <c:showCatName val="0"/>
          <c:showSerName val="0"/>
          <c:showPercent val="0"/>
          <c:showBubbleSize val="0"/>
        </c:dLbls>
        <c:smooth val="0"/>
        <c:axId val="1231881872"/>
        <c:axId val="1231886192"/>
      </c:lineChart>
      <c:catAx>
        <c:axId val="12318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1886192"/>
        <c:crosses val="autoZero"/>
        <c:auto val="1"/>
        <c:lblAlgn val="ctr"/>
        <c:lblOffset val="100"/>
        <c:noMultiLvlLbl val="0"/>
      </c:catAx>
      <c:valAx>
        <c:axId val="123188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188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[clothing_store_project.xlsx]pivot!PivotTable7</c:name>
    <c:fmtId val="4"/>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solidFill>
              <a:srgbClr val="00B0F0"/>
            </a:solidFill>
            <a:ln>
              <a:noFill/>
            </a:ln>
            <a:effectLst/>
          </c:spPr>
          <c:invertIfNegative val="0"/>
          <c:cat>
            <c:strRef>
              <c:f>pivot!$E$4:$E$8</c:f>
              <c:strCache>
                <c:ptCount val="4"/>
                <c:pt idx="0">
                  <c:v>Jeans</c:v>
                </c:pt>
                <c:pt idx="1">
                  <c:v>Kurti</c:v>
                </c:pt>
                <c:pt idx="2">
                  <c:v>Shirt</c:v>
                </c:pt>
                <c:pt idx="3">
                  <c:v>Kidswear</c:v>
                </c:pt>
              </c:strCache>
            </c:strRef>
          </c:cat>
          <c:val>
            <c:numRef>
              <c:f>pivot!$F$4:$F$8</c:f>
              <c:numCache>
                <c:formatCode>General</c:formatCode>
                <c:ptCount val="4"/>
                <c:pt idx="0">
                  <c:v>25830</c:v>
                </c:pt>
                <c:pt idx="1">
                  <c:v>21876</c:v>
                </c:pt>
                <c:pt idx="2">
                  <c:v>13232</c:v>
                </c:pt>
                <c:pt idx="3">
                  <c:v>12771</c:v>
                </c:pt>
              </c:numCache>
            </c:numRef>
          </c:val>
          <c:extLst>
            <c:ext xmlns:c16="http://schemas.microsoft.com/office/drawing/2014/chart" uri="{C3380CC4-5D6E-409C-BE32-E72D297353CC}">
              <c16:uniqueId val="{00000000-5628-4EC4-9D29-460F576BB627}"/>
            </c:ext>
          </c:extLst>
        </c:ser>
        <c:dLbls>
          <c:showLegendKey val="0"/>
          <c:showVal val="0"/>
          <c:showCatName val="0"/>
          <c:showSerName val="0"/>
          <c:showPercent val="0"/>
          <c:showBubbleSize val="0"/>
        </c:dLbls>
        <c:gapWidth val="219"/>
        <c:overlap val="-27"/>
        <c:axId val="1231866992"/>
        <c:axId val="1231883792"/>
      </c:barChart>
      <c:catAx>
        <c:axId val="12318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1883792"/>
        <c:crosses val="autoZero"/>
        <c:auto val="1"/>
        <c:lblAlgn val="ctr"/>
        <c:lblOffset val="100"/>
        <c:noMultiLvlLbl val="0"/>
      </c:catAx>
      <c:valAx>
        <c:axId val="123188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186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[clothing_store_project.xlsx]pivot!PivotTable8</c:name>
    <c:fmtId val="1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Top 5 Item based on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pivot!$G$18</c:f>
              <c:strCache>
                <c:ptCount val="1"/>
                <c:pt idx="0">
                  <c:v>Total</c:v>
                </c:pt>
              </c:strCache>
            </c:strRef>
          </c:tx>
          <c:spPr>
            <a:solidFill>
              <a:srgbClr val="00B0F0"/>
            </a:solidFill>
            <a:ln>
              <a:noFill/>
            </a:ln>
            <a:effectLst/>
          </c:spPr>
          <c:invertIfNegative val="0"/>
          <c:cat>
            <c:strRef>
              <c:f>pivot!$F$19:$F$24</c:f>
              <c:strCache>
                <c:ptCount val="5"/>
                <c:pt idx="0">
                  <c:v>Regular Jeans</c:v>
                </c:pt>
                <c:pt idx="1">
                  <c:v>Slim Fit Jeans</c:v>
                </c:pt>
                <c:pt idx="2">
                  <c:v>Floral Kurti</c:v>
                </c:pt>
                <c:pt idx="3">
                  <c:v>Stretch Jeans</c:v>
                </c:pt>
                <c:pt idx="4">
                  <c:v>Cotton Kurti</c:v>
                </c:pt>
              </c:strCache>
            </c:strRef>
          </c:cat>
          <c:val>
            <c:numRef>
              <c:f>pivot!$G$19:$G$24</c:f>
              <c:numCache>
                <c:formatCode>General</c:formatCode>
                <c:ptCount val="5"/>
                <c:pt idx="0">
                  <c:v>7194</c:v>
                </c:pt>
                <c:pt idx="1">
                  <c:v>5196</c:v>
                </c:pt>
                <c:pt idx="2">
                  <c:v>4495</c:v>
                </c:pt>
                <c:pt idx="3">
                  <c:v>4197</c:v>
                </c:pt>
                <c:pt idx="4">
                  <c:v>3995</c:v>
                </c:pt>
              </c:numCache>
            </c:numRef>
          </c:val>
          <c:extLst>
            <c:ext xmlns:c16="http://schemas.microsoft.com/office/drawing/2014/chart" uri="{C3380CC4-5D6E-409C-BE32-E72D297353CC}">
              <c16:uniqueId val="{00000000-3C1D-4871-A6A4-B05EA666E49F}"/>
            </c:ext>
          </c:extLst>
        </c:ser>
        <c:dLbls>
          <c:showLegendKey val="0"/>
          <c:showVal val="0"/>
          <c:showCatName val="0"/>
          <c:showSerName val="0"/>
          <c:showPercent val="0"/>
          <c:showBubbleSize val="0"/>
        </c:dLbls>
        <c:gapWidth val="182"/>
        <c:axId val="1231849232"/>
        <c:axId val="1231835312"/>
      </c:barChart>
      <c:catAx>
        <c:axId val="123184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1835312"/>
        <c:crosses val="autoZero"/>
        <c:auto val="1"/>
        <c:lblAlgn val="ctr"/>
        <c:lblOffset val="100"/>
        <c:noMultiLvlLbl val="0"/>
      </c:catAx>
      <c:valAx>
        <c:axId val="123183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184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[clothing_store_project.xlsx]pivot!PivotTable12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Quantity Sold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pivot!$G$39</c:f>
              <c:strCache>
                <c:ptCount val="1"/>
                <c:pt idx="0">
                  <c:v>Total</c:v>
                </c:pt>
              </c:strCache>
            </c:strRef>
          </c:tx>
          <c:spPr>
            <a:solidFill>
              <a:srgbClr val="00B0F0"/>
            </a:solidFill>
            <a:ln>
              <a:noFill/>
            </a:ln>
            <a:effectLst/>
          </c:spPr>
          <c:invertIfNegative val="0"/>
          <c:cat>
            <c:strRef>
              <c:f>pivot!$F$40:$F$43</c:f>
              <c:strCache>
                <c:ptCount val="4"/>
                <c:pt idx="0">
                  <c:v>S</c:v>
                </c:pt>
                <c:pt idx="1">
                  <c:v>M</c:v>
                </c:pt>
                <c:pt idx="2">
                  <c:v>L</c:v>
                </c:pt>
                <c:pt idx="3">
                  <c:v>XL</c:v>
                </c:pt>
              </c:strCache>
            </c:strRef>
          </c:cat>
          <c:val>
            <c:numRef>
              <c:f>pivot!$G$40:$G$43</c:f>
              <c:numCache>
                <c:formatCode>General</c:formatCode>
                <c:ptCount val="4"/>
                <c:pt idx="0">
                  <c:v>32</c:v>
                </c:pt>
                <c:pt idx="1">
                  <c:v>27</c:v>
                </c:pt>
                <c:pt idx="2">
                  <c:v>23</c:v>
                </c:pt>
                <c:pt idx="3">
                  <c:v>9</c:v>
                </c:pt>
              </c:numCache>
            </c:numRef>
          </c:val>
          <c:extLst>
            <c:ext xmlns:c16="http://schemas.microsoft.com/office/drawing/2014/chart" uri="{C3380CC4-5D6E-409C-BE32-E72D297353CC}">
              <c16:uniqueId val="{00000000-5B98-4C5B-9845-E4EBF3AABDF2}"/>
            </c:ext>
          </c:extLst>
        </c:ser>
        <c:dLbls>
          <c:showLegendKey val="0"/>
          <c:showVal val="0"/>
          <c:showCatName val="0"/>
          <c:showSerName val="0"/>
          <c:showPercent val="0"/>
          <c:showBubbleSize val="0"/>
        </c:dLbls>
        <c:gapWidth val="219"/>
        <c:overlap val="-27"/>
        <c:axId val="1231861712"/>
        <c:axId val="1231892912"/>
      </c:barChart>
      <c:catAx>
        <c:axId val="12318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92912"/>
        <c:crosses val="autoZero"/>
        <c:auto val="1"/>
        <c:lblAlgn val="ctr"/>
        <c:lblOffset val="100"/>
        <c:noMultiLvlLbl val="0"/>
      </c:catAx>
      <c:valAx>
        <c:axId val="12318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6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[clothing_store_project.xlsx]pivot!PivotTable17</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Top 5 Item by Profit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pivot!$G$48</c:f>
              <c:strCache>
                <c:ptCount val="1"/>
                <c:pt idx="0">
                  <c:v>Total</c:v>
                </c:pt>
              </c:strCache>
            </c:strRef>
          </c:tx>
          <c:spPr>
            <a:solidFill>
              <a:srgbClr val="00B0F0"/>
            </a:solidFill>
            <a:ln>
              <a:noFill/>
            </a:ln>
            <a:effectLst/>
          </c:spPr>
          <c:invertIfNegative val="0"/>
          <c:cat>
            <c:strRef>
              <c:f>pivot!$F$49:$F$53</c:f>
              <c:strCache>
                <c:ptCount val="5"/>
                <c:pt idx="0">
                  <c:v>Ripped Jeans</c:v>
                </c:pt>
                <c:pt idx="1">
                  <c:v>Stretch Jeans</c:v>
                </c:pt>
                <c:pt idx="2">
                  <c:v>Classic Jeans</c:v>
                </c:pt>
                <c:pt idx="3">
                  <c:v>Party Kurti</c:v>
                </c:pt>
                <c:pt idx="4">
                  <c:v>Skinny Jeans</c:v>
                </c:pt>
              </c:strCache>
            </c:strRef>
          </c:cat>
          <c:val>
            <c:numRef>
              <c:f>pivot!$G$49:$G$53</c:f>
              <c:numCache>
                <c:formatCode>General</c:formatCode>
                <c:ptCount val="5"/>
                <c:pt idx="0">
                  <c:v>749</c:v>
                </c:pt>
                <c:pt idx="1">
                  <c:v>679</c:v>
                </c:pt>
                <c:pt idx="2">
                  <c:v>659</c:v>
                </c:pt>
                <c:pt idx="3">
                  <c:v>599</c:v>
                </c:pt>
                <c:pt idx="4">
                  <c:v>599</c:v>
                </c:pt>
              </c:numCache>
            </c:numRef>
          </c:val>
          <c:extLst>
            <c:ext xmlns:c16="http://schemas.microsoft.com/office/drawing/2014/chart" uri="{C3380CC4-5D6E-409C-BE32-E72D297353CC}">
              <c16:uniqueId val="{00000000-3256-49B6-8BC3-EBAA2F087D11}"/>
            </c:ext>
          </c:extLst>
        </c:ser>
        <c:dLbls>
          <c:showLegendKey val="0"/>
          <c:showVal val="0"/>
          <c:showCatName val="0"/>
          <c:showSerName val="0"/>
          <c:showPercent val="0"/>
          <c:showBubbleSize val="0"/>
        </c:dLbls>
        <c:gapWidth val="219"/>
        <c:overlap val="-27"/>
        <c:axId val="1495829727"/>
        <c:axId val="1495835967"/>
      </c:barChart>
      <c:catAx>
        <c:axId val="149582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5835967"/>
        <c:crosses val="autoZero"/>
        <c:auto val="1"/>
        <c:lblAlgn val="ctr"/>
        <c:lblOffset val="100"/>
        <c:noMultiLvlLbl val="0"/>
      </c:catAx>
      <c:valAx>
        <c:axId val="1495835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582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274320</xdr:colOff>
      <xdr:row>18</xdr:row>
      <xdr:rowOff>83820</xdr:rowOff>
    </xdr:from>
    <xdr:to>
      <xdr:col>14</xdr:col>
      <xdr:colOff>83820</xdr:colOff>
      <xdr:row>27</xdr:row>
      <xdr:rowOff>99060</xdr:rowOff>
    </xdr:to>
    <xdr:graphicFrame macro="">
      <xdr:nvGraphicFramePr>
        <xdr:cNvPr id="4" name="Chart 3">
          <a:extLst>
            <a:ext uri="{FF2B5EF4-FFF2-40B4-BE49-F238E27FC236}">
              <a16:creationId xmlns:a16="http://schemas.microsoft.com/office/drawing/2014/main" id="{C109064E-B915-4FAB-A21A-DBB108721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2</xdr:row>
      <xdr:rowOff>99060</xdr:rowOff>
    </xdr:from>
    <xdr:to>
      <xdr:col>20</xdr:col>
      <xdr:colOff>494270</xdr:colOff>
      <xdr:row>15</xdr:row>
      <xdr:rowOff>22860</xdr:rowOff>
    </xdr:to>
    <xdr:graphicFrame macro="">
      <xdr:nvGraphicFramePr>
        <xdr:cNvPr id="5" name="Chart 4">
          <a:extLst>
            <a:ext uri="{FF2B5EF4-FFF2-40B4-BE49-F238E27FC236}">
              <a16:creationId xmlns:a16="http://schemas.microsoft.com/office/drawing/2014/main" id="{067181AC-C98C-41CD-B478-8664D5375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92676</xdr:colOff>
      <xdr:row>15</xdr:row>
      <xdr:rowOff>123568</xdr:rowOff>
    </xdr:from>
    <xdr:to>
      <xdr:col>20</xdr:col>
      <xdr:colOff>525163</xdr:colOff>
      <xdr:row>27</xdr:row>
      <xdr:rowOff>30480</xdr:rowOff>
    </xdr:to>
    <xdr:graphicFrame macro="">
      <xdr:nvGraphicFramePr>
        <xdr:cNvPr id="6" name="Chart 5">
          <a:extLst>
            <a:ext uri="{FF2B5EF4-FFF2-40B4-BE49-F238E27FC236}">
              <a16:creationId xmlns:a16="http://schemas.microsoft.com/office/drawing/2014/main" id="{F34FC5F9-FF87-4B19-99B5-A9AC9F5FD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281940</xdr:colOff>
      <xdr:row>9</xdr:row>
      <xdr:rowOff>99060</xdr:rowOff>
    </xdr:from>
    <xdr:to>
      <xdr:col>7</xdr:col>
      <xdr:colOff>518160</xdr:colOff>
      <xdr:row>17</xdr:row>
      <xdr:rowOff>164756</xdr:rowOff>
    </xdr:to>
    <xdr:graphicFrame macro="">
      <xdr:nvGraphicFramePr>
        <xdr:cNvPr id="9" name="Chart 8">
          <a:extLst>
            <a:ext uri="{FF2B5EF4-FFF2-40B4-BE49-F238E27FC236}">
              <a16:creationId xmlns:a16="http://schemas.microsoft.com/office/drawing/2014/main" id="{10B53520-326B-472D-ADE8-9052FC9EA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2</xdr:row>
      <xdr:rowOff>53340</xdr:rowOff>
    </xdr:from>
    <xdr:to>
      <xdr:col>4</xdr:col>
      <xdr:colOff>678180</xdr:colOff>
      <xdr:row>5</xdr:row>
      <xdr:rowOff>152400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94D978FB-3F6F-4662-9211-EB2BAE1945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417775"/>
              <a:ext cx="3309068" cy="678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6</xdr:row>
      <xdr:rowOff>45720</xdr:rowOff>
    </xdr:from>
    <xdr:to>
      <xdr:col>2</xdr:col>
      <xdr:colOff>182880</xdr:colOff>
      <xdr:row>9</xdr:row>
      <xdr:rowOff>137160</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021F6B31-0AA0-4DC7-9682-6C28936D7C5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0960" y="1188720"/>
              <a:ext cx="1347746" cy="754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10</xdr:row>
      <xdr:rowOff>106680</xdr:rowOff>
    </xdr:from>
    <xdr:to>
      <xdr:col>2</xdr:col>
      <xdr:colOff>190500</xdr:colOff>
      <xdr:row>27</xdr:row>
      <xdr:rowOff>121920</xdr:rowOff>
    </xdr:to>
    <mc:AlternateContent xmlns:mc="http://schemas.openxmlformats.org/markup-compatibility/2006" xmlns:a14="http://schemas.microsoft.com/office/drawing/2010/main">
      <mc:Choice Requires="a14">
        <xdr:graphicFrame macro="">
          <xdr:nvGraphicFramePr>
            <xdr:cNvPr id="17" name="Color">
              <a:extLst>
                <a:ext uri="{FF2B5EF4-FFF2-40B4-BE49-F238E27FC236}">
                  <a16:creationId xmlns:a16="http://schemas.microsoft.com/office/drawing/2014/main" id="{C0AA24CA-5C56-4906-8877-61EEE88DC476}"/>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60960" y="2094506"/>
              <a:ext cx="1355366" cy="311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76200</xdr:colOff>
      <xdr:row>2</xdr:row>
      <xdr:rowOff>152400</xdr:rowOff>
    </xdr:from>
    <xdr:to>
      <xdr:col>14</xdr:col>
      <xdr:colOff>99060</xdr:colOff>
      <xdr:row>17</xdr:row>
      <xdr:rowOff>137160</xdr:rowOff>
    </xdr:to>
    <xdr:graphicFrame macro="">
      <xdr:nvGraphicFramePr>
        <xdr:cNvPr id="18" name="Chart 17">
          <a:extLst>
            <a:ext uri="{FF2B5EF4-FFF2-40B4-BE49-F238E27FC236}">
              <a16:creationId xmlns:a16="http://schemas.microsoft.com/office/drawing/2014/main" id="{2DDEB2C5-56D5-4BC1-966B-9D9EEE8F9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46180555" backgroundQuery="1" createdVersion="8" refreshedVersion="8" minRefreshableVersion="3" recordCount="0" supportSubquery="1" supportAdvancedDrill="1" xr:uid="{B8EA8D77-158F-4AD1-8EFC-989C040A7F02}">
  <cacheSource type="external" connectionId="1"/>
  <cacheFields count="3">
    <cacheField name="[product_data].[Product ID].[Product ID]" caption="Product ID" numFmtId="0" level="1">
      <sharedItems count="5">
        <s v="P001"/>
        <s v="P003"/>
        <s v="P009"/>
        <s v="P010"/>
        <s v="P011"/>
      </sharedItems>
    </cacheField>
    <cacheField name="[Measures].[Sum of Profit]" caption="Sum of Profit" numFmtId="0" hierarchy="24" level="32767"/>
    <cacheField name="[product_data].[Item Name].[Item Name]" caption="Item Name" numFmtId="0" hierarchy="2" level="1">
      <sharedItems count="5">
        <s v="Classic Jeans"/>
        <s v="Party Kurti"/>
        <s v="Ripped Jeans"/>
        <s v="Skinny Jeans"/>
        <s v="Stretch Jeans"/>
      </sharedItems>
    </cacheField>
  </cacheFields>
  <cacheHierarchies count="25">
    <cacheHierarchy uniqueName="[product_data].[Product ID]" caption="Product ID" attribute="1" defaultMemberUniqueName="[product_data].[Product ID].[All]" allUniqueName="[product_data].[Product ID].[All]" dimensionUniqueName="[product_data]" displayFolder="" count="2" memberValueDatatype="130" unbalanced="0">
      <fieldsUsage count="2">
        <fieldUsage x="-1"/>
        <fieldUsage x="0"/>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Item Name]" caption="Item Name" attribute="1" defaultMemberUniqueName="[product_data].[Item Name].[All]" allUniqueName="[product_data].[Item Name].[All]" dimensionUniqueName="[product_data]" displayFolder="" count="2" memberValueDatatype="130" unbalanced="0">
      <fieldsUsage count="2">
        <fieldUsage x="-1"/>
        <fieldUsage x="2"/>
      </fieldsUsage>
    </cacheHierarchy>
    <cacheHierarchy uniqueName="[product_data].[Size]" caption="Size" attribute="1" defaultMemberUniqueName="[product_data].[Size].[All]" allUniqueName="[product_data].[Size].[All]" dimensionUniqueName="[product_data]" displayFolder="" count="0"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47453702" backgroundQuery="1" createdVersion="8" refreshedVersion="8" minRefreshableVersion="3" recordCount="0" supportSubquery="1" supportAdvancedDrill="1" xr:uid="{618335A2-9A47-45B0-9711-0FC2C744866A}">
  <cacheSource type="external" connectionId="1"/>
  <cacheFields count="3">
    <cacheField name="[product_data].[Product ID].[Product ID]" caption="Product ID" numFmtId="0" level="1">
      <sharedItems count="5">
        <s v="P001"/>
        <s v="P003"/>
        <s v="P009"/>
        <s v="P010"/>
        <s v="P011"/>
      </sharedItems>
    </cacheField>
    <cacheField name="[Measures].[Sum of Quantity Sold]" caption="Sum of Quantity Sold" numFmtId="0" hierarchy="22" level="32767"/>
    <cacheField name="[product_data].[Size].[Size]" caption="Size" numFmtId="0" hierarchy="3" level="1">
      <sharedItems count="4">
        <s v="L"/>
        <s v="M"/>
        <s v="S"/>
        <s v="XL"/>
      </sharedItems>
    </cacheField>
  </cacheFields>
  <cacheHierarchies count="25">
    <cacheHierarchy uniqueName="[product_data].[Product ID]" caption="Product ID" attribute="1" defaultMemberUniqueName="[product_data].[Product ID].[All]" allUniqueName="[product_data].[Product ID].[All]" dimensionUniqueName="[product_data]" displayFolder="" count="2" memberValueDatatype="130" unbalanced="0">
      <fieldsUsage count="2">
        <fieldUsage x="-1"/>
        <fieldUsage x="0"/>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2" memberValueDatatype="130" unbalanced="0">
      <fieldsUsage count="2">
        <fieldUsage x="-1"/>
        <fieldUsage x="2"/>
      </fieldsUsage>
    </cacheHierarchy>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48611111" backgroundQuery="1" createdVersion="8" refreshedVersion="8" minRefreshableVersion="3" recordCount="0" supportSubquery="1" supportAdvancedDrill="1" xr:uid="{A10CC695-7EE6-4895-938C-49860B4ADE0A}">
  <cacheSource type="external" connectionId="1"/>
  <cacheFields count="3">
    <cacheField name="[product_data].[Product ID].[Product ID]" caption="Product ID" numFmtId="0" level="1">
      <sharedItems count="5">
        <s v="P001"/>
        <s v="P003"/>
        <s v="P009"/>
        <s v="P010"/>
        <s v="P011"/>
      </sharedItems>
    </cacheField>
    <cacheField name="[product_data].[Item Name].[Item Name]" caption="Item Name" numFmtId="0" hierarchy="2" level="1">
      <sharedItems count="4">
        <s v="Denim Shirt"/>
        <s v="Designer Kurti"/>
        <s v="Party Kurti"/>
        <s v="Regular Jeans"/>
      </sharedItems>
    </cacheField>
    <cacheField name="[Measures].[Sum of Updated Stock]" caption="Sum of Updated Stock" numFmtId="0" hierarchy="21" level="32767"/>
  </cacheFields>
  <cacheHierarchies count="25">
    <cacheHierarchy uniqueName="[product_data].[Product ID]" caption="Product ID" attribute="1" defaultMemberUniqueName="[product_data].[Product ID].[All]" allUniqueName="[product_data].[Product ID].[All]" dimensionUniqueName="[product_data]" displayFolder="" count="2" memberValueDatatype="130" unbalanced="0">
      <fieldsUsage count="2">
        <fieldUsage x="-1"/>
        <fieldUsage x="0"/>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Item Name]" caption="Item Name" attribute="1" defaultMemberUniqueName="[product_data].[Item Name].[All]" allUniqueName="[product_data].[Item Name].[All]" dimensionUniqueName="[product_data]" displayFolder="" count="2" memberValueDatatype="130" unbalanced="0">
      <fieldsUsage count="2">
        <fieldUsage x="-1"/>
        <fieldUsage x="1"/>
      </fieldsUsage>
    </cacheHierarchy>
    <cacheHierarchy uniqueName="[product_data].[Size]" caption="Size" attribute="1" defaultMemberUniqueName="[product_data].[Size].[All]" allUniqueName="[product_data].[Size].[All]" dimensionUniqueName="[product_data]" displayFolder="" count="0"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49652781" backgroundQuery="1" createdVersion="8" refreshedVersion="8" minRefreshableVersion="3" recordCount="0" supportSubquery="1" supportAdvancedDrill="1" xr:uid="{6E2CAD9F-DDD3-4C10-9A20-C8358FFECD62}">
  <cacheSource type="external" connectionId="1"/>
  <cacheFields count="3">
    <cacheField name="[Measures].[Sum of Total Amount]" caption="Sum of Total Amount" numFmtId="0" hierarchy="19" level="32767"/>
    <cacheField name="[product_data].[Product ID].[Product ID]" caption="Product ID" numFmtId="0" level="1">
      <sharedItems count="5">
        <s v="P001"/>
        <s v="P003"/>
        <s v="P009"/>
        <s v="P010"/>
        <s v="P011"/>
      </sharedItems>
    </cacheField>
    <cacheField name="[product_data].[Item Name].[Item Name]" caption="Item Name" numFmtId="0" hierarchy="2" level="1">
      <sharedItems count="5">
        <s v="Cotton Kurti"/>
        <s v="Floral Kurti"/>
        <s v="Regular Jeans"/>
        <s v="Slim Fit Jeans"/>
        <s v="Stretch Jeans"/>
      </sharedItems>
    </cacheField>
  </cacheFields>
  <cacheHierarchies count="25">
    <cacheHierarchy uniqueName="[product_data].[Product ID]" caption="Product ID" attribute="1" defaultMemberUniqueName="[product_data].[Product ID].[All]" allUniqueName="[product_data].[Product ID].[All]" dimensionUniqueName="[product_data]" displayFolder="" count="2" memberValueDatatype="130" unbalanced="0">
      <fieldsUsage count="2">
        <fieldUsage x="-1"/>
        <fieldUsage x="1"/>
      </fieldsUsage>
    </cacheHierarchy>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Item Name]" caption="Item Name" attribute="1" defaultMemberUniqueName="[product_data].[Item Name].[All]" allUniqueName="[product_data].[Item Name].[All]" dimensionUniqueName="[product_data]" displayFolder="" count="2" memberValueDatatype="130" unbalanced="0">
      <fieldsUsage count="2">
        <fieldUsage x="-1"/>
        <fieldUsage x="2"/>
      </fieldsUsage>
    </cacheHierarchy>
    <cacheHierarchy uniqueName="[product_data].[Size]" caption="Size" attribute="1" defaultMemberUniqueName="[product_data].[Size].[All]" allUniqueName="[product_data].[Size].[All]" dimensionUniqueName="[product_data]" displayFolder="" count="0"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50925928" backgroundQuery="1" createdVersion="8" refreshedVersion="8" minRefreshableVersion="3" recordCount="0" supportSubquery="1" supportAdvancedDrill="1" xr:uid="{346C92B8-BF68-49E8-9105-B65B80FE042B}">
  <cacheSource type="external" connectionId="1"/>
  <cacheFields count="2">
    <cacheField name="[sales_data].[Date].[Date]" caption="Date" numFmtId="0" hierarchy="11" level="1">
      <sharedItems count="30">
        <s v="01-01-2026"/>
        <s v="02-01-2026"/>
        <s v="03-01-2026"/>
        <s v="04-01-2026"/>
        <s v="05-01-2026"/>
        <s v="06-01-2026"/>
        <s v="07-01-2026"/>
        <s v="08-01-2026"/>
        <s v="09-01-2026"/>
        <s v="10-01-2026"/>
        <s v="11-01-2026"/>
        <s v="12-01-2026"/>
        <s v="13-01-2026"/>
        <s v="14-01-2026"/>
        <s v="15-01-2026"/>
        <s v="16-01-2026"/>
        <s v="17-01-2026"/>
        <s v="18-01-2026"/>
        <s v="19-01-2026"/>
        <s v="20-01-2026"/>
        <s v="21-01-2026"/>
        <s v="22-01-2026"/>
        <s v="23-01-2026"/>
        <s v="24-01-2026"/>
        <s v="25-01-2026"/>
        <s v="26-01-2026"/>
        <s v="27-01-2026"/>
        <s v="28-01-2026"/>
        <s v="29-01-2026"/>
        <s v="30-01-2026"/>
      </sharedItems>
    </cacheField>
    <cacheField name="[Measures].[Sum of Total Amount]" caption="Sum of Total Amount" numFmtId="0" hierarchy="19" level="32767"/>
  </cacheFields>
  <cacheHierarchies count="25">
    <cacheHierarchy uniqueName="[product_data].[Product ID]" caption="Product ID" attribute="1" defaultMemberUniqueName="[product_data].[Product ID].[All]" allUniqueName="[product_data].[Product ID].[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0"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2" memberValueDatatype="130" unbalanced="0">
      <fieldsUsage count="2">
        <fieldUsage x="-1"/>
        <fieldUsage x="0"/>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54745369" backgroundQuery="1" createdVersion="8" refreshedVersion="8" minRefreshableVersion="3" recordCount="0" supportSubquery="1" supportAdvancedDrill="1" xr:uid="{04AEB609-FA2A-461E-A9DF-28B8ED6C9DF6}">
  <cacheSource type="external" connectionId="1"/>
  <cacheFields count="4">
    <cacheField name="[Measures].[Sum of Total Amount]" caption="Sum of Total Amount" numFmtId="0" hierarchy="19" level="32767"/>
    <cacheField name="[product_data].[Category].[Category]" caption="Category" numFmtId="0" hierarchy="1" level="1">
      <sharedItems count="4">
        <s v="Jeans"/>
        <s v="Kidswear"/>
        <s v="Kurti"/>
        <s v="Shirt"/>
      </sharedItems>
    </cacheField>
    <cacheField name="[product_data].[Color].[Color]" caption="Color" numFmtId="0" hierarchy="4" level="1">
      <sharedItems containsSemiMixedTypes="0" containsNonDate="0" containsString="0"/>
    </cacheField>
    <cacheField name="[product_data].[Size].[Size]" caption="Size" numFmtId="0" hierarchy="3" level="1">
      <sharedItems containsSemiMixedTypes="0" containsNonDate="0" containsString="0"/>
    </cacheField>
  </cacheFields>
  <cacheHierarchies count="25">
    <cacheHierarchy uniqueName="[product_data].[Product ID]" caption="Product ID" attribute="1" defaultMemberUniqueName="[product_data].[Product ID].[All]" allUniqueName="[product_data].[Product ID].[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fieldsUsage count="2">
        <fieldUsage x="-1"/>
        <fieldUsage x="1"/>
      </fieldsUsage>
    </cacheHierarchy>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2" memberValueDatatype="130" unbalanced="0">
      <fieldsUsage count="2">
        <fieldUsage x="-1"/>
        <fieldUsage x="3"/>
      </fieldsUsage>
    </cacheHierarchy>
    <cacheHierarchy uniqueName="[product_data].[Color]" caption="Color" attribute="1" defaultMemberUniqueName="[product_data].[Color].[All]" allUniqueName="[product_data].[Color].[All]" dimensionUniqueName="[product_data]" displayFolder="" count="2" memberValueDatatype="130" unbalanced="0">
      <fieldsUsage count="2">
        <fieldUsage x="-1"/>
        <fieldUsage x="2"/>
      </fieldsUsage>
    </cacheHierarchy>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902777775" backgroundQuery="1" createdVersion="8" refreshedVersion="8" minRefreshableVersion="3" recordCount="0" supportSubquery="1" supportAdvancedDrill="1" xr:uid="{18E5DE6A-54EE-4E3A-BA1F-1130235FD578}">
  <cacheSource type="external" connectionId="1"/>
  <cacheFields count="2">
    <cacheField name="[Measures].[Sum of Total Amount]" caption="Sum of Total Amount" numFmtId="0" hierarchy="19" level="32767"/>
    <cacheField name="[product_data].[Category].[Category]" caption="Category" numFmtId="0" hierarchy="1" level="1">
      <sharedItems containsSemiMixedTypes="0" containsNonDate="0" containsString="0"/>
    </cacheField>
  </cacheFields>
  <cacheHierarchies count="25">
    <cacheHierarchy uniqueName="[product_data].[Product ID]" caption="Product ID" attribute="1" defaultMemberUniqueName="[product_data].[Product ID].[All]" allUniqueName="[product_data].[Product ID].[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fieldsUsage count="2">
        <fieldUsage x="-1"/>
        <fieldUsage x="1"/>
      </fieldsUsage>
    </cacheHierarchy>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2"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90300926" backgroundQuery="1" createdVersion="8" refreshedVersion="8" minRefreshableVersion="3" recordCount="0" supportSubquery="1" supportAdvancedDrill="1" xr:uid="{1B1E5063-D4AD-4002-985A-4C3D65C56AD3}">
  <cacheSource type="external" connectionId="1"/>
  <cacheFields count="2">
    <cacheField name="[Measures].[Sum of Quantity Sold]" caption="Sum of Quantity Sold" numFmtId="0" hierarchy="22" level="32767"/>
    <cacheField name="[product_data].[Category].[Category]" caption="Category" numFmtId="0" hierarchy="1" level="1">
      <sharedItems containsSemiMixedTypes="0" containsNonDate="0" containsString="0"/>
    </cacheField>
  </cacheFields>
  <cacheHierarchies count="25">
    <cacheHierarchy uniqueName="[product_data].[Product ID]" caption="Product ID" attribute="1" defaultMemberUniqueName="[product_data].[Product ID].[All]" allUniqueName="[product_data].[Product ID].[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fieldsUsage count="2">
        <fieldUsage x="-1"/>
        <fieldUsage x="1"/>
      </fieldsUsage>
    </cacheHierarchy>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2"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90300926" backgroundQuery="1" createdVersion="8" refreshedVersion="8" minRefreshableVersion="3" recordCount="0" supportSubquery="1" supportAdvancedDrill="1" xr:uid="{C467C67A-FC61-4B1F-987D-0189CBC43E92}">
  <cacheSource type="external" connectionId="1"/>
  <cacheFields count="2">
    <cacheField name="[Measures].[Average of Total Amount]" caption="Average of Total Amount" numFmtId="0" hierarchy="23" level="32767"/>
    <cacheField name="[product_data].[Category].[Category]" caption="Category" numFmtId="0" hierarchy="1" level="1">
      <sharedItems containsSemiMixedTypes="0" containsNonDate="0" containsString="0"/>
    </cacheField>
  </cacheFields>
  <cacheHierarchies count="25">
    <cacheHierarchy uniqueName="[product_data].[Product ID]" caption="Product ID" attribute="1" defaultMemberUniqueName="[product_data].[Product ID].[All]" allUniqueName="[product_data].[Product ID].[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fieldsUsage count="2">
        <fieldUsage x="-1"/>
        <fieldUsage x="1"/>
      </fieldsUsage>
    </cacheHierarchy>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2" memberValueDatatype="130" unbalanced="0"/>
    <cacheHierarchy uniqueName="[product_data].[Color]" caption="Color" attribute="1" defaultMemberUniqueName="[product_data].[Color].[All]" allUniqueName="[product_data].[Color].[All]" dimensionUniqueName="[product_data]" displayFolder="" count="0"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product_data" uniqueName="[product_data]" caption="product_data"/>
    <dimension name="sales_data" uniqueName="[sales_data]" caption="sales_data"/>
  </dimensions>
  <measureGroups count="2">
    <measureGroup name="product_data" caption="product_data"/>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Gupta" refreshedDate="46064.505751736113" backgroundQuery="1" createdVersion="3" refreshedVersion="8" minRefreshableVersion="3" recordCount="0" supportSubquery="1" supportAdvancedDrill="1" xr:uid="{EC50F876-CA4C-4BFD-AAFF-A47B83673F6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product_data].[Product ID]" caption="Product ID" attribute="1" defaultMemberUniqueName="[product_data].[Product ID].[All]" allUniqueName="[product_data].[Product ID].[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2" memberValueDatatype="130" unbalanced="0"/>
    <cacheHierarchy uniqueName="[product_data].[Item Name]" caption="Item Name" attribute="1" defaultMemberUniqueName="[product_data].[Item Name].[All]" allUniqueName="[product_data].[Item Name].[All]" dimensionUniqueName="[product_data]" displayFolder="" count="0" memberValueDatatype="130" unbalanced="0"/>
    <cacheHierarchy uniqueName="[product_data].[Size]" caption="Size" attribute="1" defaultMemberUniqueName="[product_data].[Size].[All]" allUniqueName="[product_data].[Size].[All]" dimensionUniqueName="[product_data]" displayFolder="" count="2" memberValueDatatype="130" unbalanced="0"/>
    <cacheHierarchy uniqueName="[product_data].[Color]" caption="Color" attribute="1" defaultMemberUniqueName="[product_data].[Color].[All]" allUniqueName="[product_data].[Color].[All]" dimensionUniqueName="[product_data]" displayFolder="" count="2" memberValueDatatype="130" unbalanced="0"/>
    <cacheHierarchy uniqueName="[product_data].[Cost Price]" caption="Cost Price" attribute="1" defaultMemberUniqueName="[product_data].[Cost Price].[All]" allUniqueName="[product_data].[Cost Price].[All]" dimensionUniqueName="[product_data]" displayFolder="" count="0" memberValueDatatype="20" unbalanced="0"/>
    <cacheHierarchy uniqueName="[product_data].[Selling Price]" caption="Selling Price" attribute="1" defaultMemberUniqueName="[product_data].[Selling Price].[All]" allUniqueName="[product_data].[Selling Price].[All]" dimensionUniqueName="[product_data]" displayFolder="" count="0" memberValueDatatype="20" unbalanced="0"/>
    <cacheHierarchy uniqueName="[product_data].[Profit]" caption="Profit" attribute="1" defaultMemberUniqueName="[product_data].[Profit].[All]" allUniqueName="[product_data].[Profit].[All]" dimensionUniqueName="[product_data]" displayFolder="" count="0" memberValueDatatype="20" unbalanced="0"/>
    <cacheHierarchy uniqueName="[product_data].[Stock]" caption="Stock" attribute="1" defaultMemberUniqueName="[product_data].[Stock].[All]" allUniqueName="[product_data].[Stock].[All]" dimensionUniqueName="[product_data]" displayFolder="" count="0" memberValueDatatype="20" unbalanced="0"/>
    <cacheHierarchy uniqueName="[product_data].[Low Stock Alert]" caption="Low Stock Alert" attribute="1" defaultMemberUniqueName="[product_data].[Low Stock Alert].[All]" allUniqueName="[product_data].[Low Stock Alert].[All]" dimensionUniqueName="[product_data]" displayFolder="" count="0" memberValueDatatype="130" unbalanced="0"/>
    <cacheHierarchy uniqueName="[product_data].[Updated Stock]" caption="Updated Stock" attribute="1" defaultMemberUniqueName="[product_data].[Updated Stock].[All]" allUniqueName="[product_data].[Updated Stock].[All]" dimensionUniqueName="[product_data]" displayFolder="" count="0" memberValueDatatype="20" unbalanced="0"/>
    <cacheHierarchy uniqueName="[sales_data].[Date]" caption="Date" attribute="1" defaultMemberUniqueName="[sales_data].[Date].[All]" allUniqueName="[sales_data].[Date].[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Quantity Sold]" caption="Quantity Sold" attribute="1" defaultMemberUniqueName="[sales_data].[Quantity Sold].[All]" allUniqueName="[sales_data].[Quantity Sold].[All]" dimensionUniqueName="[sales_data]" displayFolder="" count="0" memberValueDatatype="20" unbalanced="0"/>
    <cacheHierarchy uniqueName="[sales_data].[Selling Price]" caption="Selling Price" attribute="1" defaultMemberUniqueName="[sales_data].[Selling Price].[All]" allUniqueName="[sales_data].[Selling Price].[All]" dimensionUniqueName="[sales_data]" displayFolder="" count="0" memberValueDatatype="20" unbalanced="0"/>
    <cacheHierarchy uniqueName="[sales_data].[Total Amount]" caption="Total Amount" attribute="1" defaultMemberUniqueName="[sales_data].[Total Amount].[All]" allUniqueName="[sales_data].[Total Amount].[All]" dimensionUniqueName="[sales_data]" displayFolder="" count="0" memberValueDatatype="20" unbalanced="0"/>
    <cacheHierarchy uniqueName="[Measures].[__XL_Count product_data]" caption="__XL_Count product_data" measure="1" displayFolder="" measureGroup="product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Amount]" caption="Sum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Stock]" caption="Sum of Stock" measure="1" displayFolder="" measureGroup="product_data" count="0" hidden="1">
      <extLst>
        <ext xmlns:x15="http://schemas.microsoft.com/office/spreadsheetml/2010/11/main" uri="{B97F6D7D-B522-45F9-BDA1-12C45D357490}">
          <x15:cacheHierarchy aggregatedColumn="8"/>
        </ext>
      </extLst>
    </cacheHierarchy>
    <cacheHierarchy uniqueName="[Measures].[Sum of Updated Stock]" caption="Sum of Updated Stock" measure="1" displayFolder="" measureGroup="product_data" count="0" hidden="1">
      <extLst>
        <ext xmlns:x15="http://schemas.microsoft.com/office/spreadsheetml/2010/11/main" uri="{B97F6D7D-B522-45F9-BDA1-12C45D357490}">
          <x15:cacheHierarchy aggregatedColumn="10"/>
        </ext>
      </extLst>
    </cacheHierarchy>
    <cacheHierarchy uniqueName="[Measures].[Sum of Quantity Sold]" caption="Sum of Quantity Sold" measure="1" displayFolder="" measureGroup="sales_data" count="0" hidden="1">
      <extLst>
        <ext xmlns:x15="http://schemas.microsoft.com/office/spreadsheetml/2010/11/main" uri="{B97F6D7D-B522-45F9-BDA1-12C45D357490}">
          <x15:cacheHierarchy aggregatedColumn="13"/>
        </ext>
      </extLst>
    </cacheHierarchy>
    <cacheHierarchy uniqueName="[Measures].[Average of Total Amount]" caption="Average of Total Amount" measure="1" displayFolder="" measureGroup="sales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product_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780023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7C687-7E00-4303-AD92-3F08FFC00602}" name="PivotTable8"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8:G2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3"/>
    </i>
    <i>
      <x v="1"/>
    </i>
    <i>
      <x v="4"/>
    </i>
    <i>
      <x/>
    </i>
    <i t="grand">
      <x/>
    </i>
  </rowItems>
  <colItems count="1">
    <i/>
  </colItems>
  <dataFields count="1">
    <dataField name="Sum of Total Amount"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19">
      <autoFilter ref="A1">
        <filterColumn colId="0">
          <top10 val="5" filterVal="5"/>
        </filterColumn>
      </autoFilter>
    </filter>
    <filter fld="2" type="count" id="2" iMeasureHier="1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FD8A9E-9BE9-4C0F-B4C5-1B2B87BED2F4}" name="PivotTable14" cacheId="2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old" fld="0" baseField="0" baseItem="0"/>
  </dataFields>
  <pivotHierarchies count="2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ol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9B9F8-DFE6-4EAC-ACA8-9F63518DBF77}" name="PivotTable7" cacheId="2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E3:F8"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2"/>
    </i>
    <i>
      <x v="3"/>
    </i>
    <i>
      <x v="1"/>
    </i>
    <i t="grand">
      <x/>
    </i>
  </rowItems>
  <colItems count="1">
    <i/>
  </colItems>
  <dataFields count="1">
    <dataField name="Sum of Total Amount"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269E58-DD1C-47AF-87D0-A6B4F0525F59}" name="PivotTable6"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34" firstHeaderRow="1" firstDataRow="1" firstDataCol="1"/>
  <pivotFields count="2">
    <pivotField axis="axisRow" allDrilled="1" subtotalTop="0" showAll="0" sortType="a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 Amount"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othing_store_project.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94A04E-879E-4A5D-A8D8-4BAC8B34BDE5}" name="PivotTable13" cacheId="2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6893C-4F6F-436E-8C88-AA0E48716EF5}" name="PivotTable12" cacheId="24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F39:G4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4">
    <i>
      <x v="2"/>
    </i>
    <i>
      <x v="1"/>
    </i>
    <i>
      <x/>
    </i>
    <i>
      <x v="3"/>
    </i>
  </rowItems>
  <colItems count="1">
    <i/>
  </colItems>
  <dataFields count="1">
    <dataField name="Sum of Quantity Sold"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3CF9B9-7AAD-49C0-8388-B67402522102}" name="PivotTable9" cacheId="24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Item">
  <location ref="F30:G34"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v="2"/>
    </i>
    <i>
      <x v="1"/>
    </i>
    <i>
      <x v="3"/>
    </i>
    <i>
      <x/>
    </i>
  </rowItems>
  <colItems count="1">
    <i/>
  </colItems>
  <dataFields count="1">
    <dataField name="Stock" fld="2" baseField="1"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tock"/>
    <pivotHierarchy dragToData="1"/>
    <pivotHierarchy dragToData="1"/>
    <pivotHierarchy dragToData="1"/>
  </pivotHierarchies>
  <pivotTableStyleInfo name="PivotStyleLight16" showRowHeaders="1" showColHeaders="1" showRowStripes="0" showColStripes="0" showLastColumn="1"/>
  <filters count="2">
    <filter fld="1" type="valueLessThanOrEqual" id="4" iMeasureHier="20">
      <autoFilter ref="A1">
        <filterColumn colId="0">
          <customFilters>
            <customFilter operator="lessThanOrEqual" val="10"/>
          </customFilters>
        </filterColumn>
      </autoFilter>
    </filter>
    <filter fld="0" type="count" id="1" iMeasureHier="1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C1852E-99A1-4F5F-B9B9-A4388644D895}" name="PivotTable17" cacheId="24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rowHeaderCaption="Item">
  <location ref="F48:G5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2"/>
    </i>
    <i>
      <x v="4"/>
    </i>
    <i>
      <x/>
    </i>
    <i>
      <x v="1"/>
    </i>
    <i>
      <x v="3"/>
    </i>
  </rowItems>
  <colItems count="1">
    <i/>
  </colItems>
  <dataFields count="1">
    <dataField name="Profit" fld="1" baseField="2"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rofit"/>
  </pivotHierarchies>
  <pivotTableStyleInfo name="PivotStyleLight16" showRowHeaders="1" showColHeaders="1" showRowStripes="0" showColStripes="0" showLastColumn="1"/>
  <filters count="2">
    <filter fld="0" type="count" id="1" iMeasureHier="19">
      <autoFilter ref="A1">
        <filterColumn colId="0">
          <top10 val="5" filterVal="5"/>
        </filterColumn>
      </autoFilter>
    </filter>
    <filter fld="2" type="count" id="5" iMeasureHier="2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CAF952-A33C-40C3-A513-BD50D7591C86}" name="PivotTable16" cacheId="2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H11:H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Amount per Transaction" fld="0" subtotal="average" baseField="0" baseItem="0" numFmtId="1"/>
  </dataFields>
  <formats count="1">
    <format dxfId="30">
      <pivotArea outline="0" collapsedLevelsAreSubtotals="1" fieldPosition="0"/>
    </format>
  </formats>
  <pivotHierarchies count="2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old"/>
    <pivotHierarchy dragToData="1" caption="Avg Amount per Transac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148756-88D5-41F2-92F1-7F64EB9E2695}" sourceName="[product_data].[Category]">
  <pivotTables>
    <pivotTable tabId="9" name="PivotTable13"/>
    <pivotTable tabId="9" name="PivotTable14"/>
    <pivotTable tabId="9" name="PivotTable16"/>
  </pivotTables>
  <data>
    <olap pivotCacheId="578002319">
      <levels count="2">
        <level uniqueName="[product_data].[Category].[(All)]" sourceCaption="(All)" count="0"/>
        <level uniqueName="[product_data].[Category].[Category]" sourceCaption="Category" count="4">
          <ranges>
            <range startItem="0">
              <i n="[product_data].[Category].&amp;[Jeans]" c="Jeans"/>
              <i n="[product_data].[Category].&amp;[Kidswear]" c="Kidswear"/>
              <i n="[product_data].[Category].&amp;[Kurti]" c="Kurti"/>
              <i n="[product_data].[Category].&amp;[Shirt]" c="Shirt"/>
            </range>
          </ranges>
        </level>
      </levels>
      <selections count="1">
        <selection n="[product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DC8BCA2-7432-44F1-8075-CABE24819748}" sourceName="[product_data].[Size]">
  <pivotTables>
    <pivotTable tabId="9" name="PivotTable7"/>
    <pivotTable tabId="9" name="PivotTable13"/>
    <pivotTable tabId="9" name="PivotTable14"/>
    <pivotTable tabId="9" name="PivotTable16"/>
  </pivotTables>
  <data>
    <olap pivotCacheId="578002319">
      <levels count="2">
        <level uniqueName="[product_data].[Size].[(All)]" sourceCaption="(All)" count="0"/>
        <level uniqueName="[product_data].[Size].[Size]" sourceCaption="Size" count="4" crossFilter="none">
          <ranges>
            <range startItem="0">
              <i n="[product_data].[Size].&amp;[L]" c="L"/>
              <i n="[product_data].[Size].&amp;[M]" c="M"/>
              <i n="[product_data].[Size].&amp;[S]" c="S"/>
              <i n="[product_data].[Size].&amp;[XL]" c="XL"/>
            </range>
          </ranges>
        </level>
      </levels>
      <selections count="1">
        <selection n="[product_data].[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D2722589-0779-4491-BF3D-1914C81C8BB6}" sourceName="[product_data].[Color]">
  <pivotTables>
    <pivotTable tabId="9" name="PivotTable7"/>
  </pivotTables>
  <data>
    <olap pivotCacheId="578002319">
      <levels count="2">
        <level uniqueName="[product_data].[Color].[(All)]" sourceCaption="(All)" count="0"/>
        <level uniqueName="[product_data].[Color].[Color]" sourceCaption="Color" count="12">
          <ranges>
            <range startItem="0">
              <i n="[product_data].[Color].&amp;[Black]" c="Black"/>
              <i n="[product_data].[Color].&amp;[Blue]" c="Blue"/>
              <i n="[product_data].[Color].&amp;[Green]" c="Green"/>
              <i n="[product_data].[Color].&amp;[Grey]" c="Grey"/>
              <i n="[product_data].[Color].&amp;[Maroon]" c="Maroon"/>
              <i n="[product_data].[Color].&amp;[Orange]" c="Orange"/>
              <i n="[product_data].[Color].&amp;[Pink]" c="Pink"/>
              <i n="[product_data].[Color].&amp;[Purple]" c="Purple"/>
              <i n="[product_data].[Color].&amp;[Red]" c="Red"/>
              <i n="[product_data].[Color].&amp;[White]" c="White"/>
              <i n="[product_data].[Color].&amp;[Yellow]" c="Yellow"/>
              <i n="[product_data].[Color].&amp;[Gold]" c="Gold" nd="1"/>
            </range>
          </ranges>
        </level>
      </levels>
      <selections count="1">
        <selection n="[product_data].[Col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24AB5C8-2A87-4724-A4DF-FD5EECB0A1AD}" cache="Slicer_Category" caption="Category" columnCount="4" level="1" rowHeight="288000"/>
  <slicer name="Size" xr10:uid="{198D454B-6B04-4070-9BD6-B074D8D3A5B8}" cache="Slicer_Size" caption="Size" columnCount="2" showCaption="0" level="1" rowHeight="252000"/>
  <slicer name="Color" xr10:uid="{50904579-2DDA-49CC-8A4F-855318CA71EE}" cache="Slicer_Color" caption="Colo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0204F6-A189-4973-AE86-89EA562F5B40}" name="sales_data" displayName="sales_data" ref="A1:E61" totalsRowShown="0" headerRowDxfId="39" headerRowBorderDxfId="38" tableBorderDxfId="37" totalsRowBorderDxfId="36">
  <autoFilter ref="A1:E61" xr:uid="{540204F6-A189-4973-AE86-89EA562F5B40}"/>
  <tableColumns count="5">
    <tableColumn id="1" xr3:uid="{BEC456CE-8BC2-4E70-A5E4-F9887978F8C6}" name="Date" dataDxfId="35"/>
    <tableColumn id="2" xr3:uid="{8783E331-6A78-40DE-B45D-6E551B393928}" name="Product ID" dataDxfId="34"/>
    <tableColumn id="3" xr3:uid="{5FE626D6-E9B3-42D4-9BC0-60F255BE480E}" name="Quantity Sold" dataDxfId="33"/>
    <tableColumn id="4" xr3:uid="{63F01564-CC33-4F3B-8DE6-0D4371F97C2C}" name="Selling Price" dataDxfId="32">
      <calculatedColumnFormula>_xlfn.XLOOKUP(B2,product_data[Product ID],product_data[Selling Price],0)</calculatedColumnFormula>
    </tableColumn>
    <tableColumn id="5" xr3:uid="{6B6AFCCA-845A-4C36-BE2B-AE733CB0CE5D}" name="Total Amount" dataDxfId="31">
      <calculatedColumnFormula>C2*D2</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D2116-530A-470B-BC56-05AC34CC437B}" name="product_data" displayName="product_data" ref="A1:K31" totalsRowShown="0" headerRowDxfId="29" dataDxfId="27" headerRowBorderDxfId="28" tableBorderDxfId="26" totalsRowBorderDxfId="25">
  <autoFilter ref="A1:K31" xr:uid="{E8BD2116-530A-470B-BC56-05AC34CC437B}"/>
  <tableColumns count="11">
    <tableColumn id="1" xr3:uid="{11C087FF-3D98-41DC-9F99-41EB5129B7EA}" name="Product ID" dataDxfId="24"/>
    <tableColumn id="2" xr3:uid="{CD88736F-C9B7-496D-8638-0BEF036EE94D}" name="Category" dataDxfId="23"/>
    <tableColumn id="3" xr3:uid="{766F20F8-9C25-470F-9C49-F03480DC4794}" name="Item Name" dataDxfId="22"/>
    <tableColumn id="4" xr3:uid="{1CAF2DC3-386D-4772-ABFD-CA750ED12769}" name="Size" dataDxfId="21"/>
    <tableColumn id="5" xr3:uid="{EFB299F6-3EC1-4C1C-ADDE-146A86AF9C84}" name="Color" dataDxfId="20"/>
    <tableColumn id="6" xr3:uid="{45BD7A5D-8B06-4C48-8D6E-05C532D5DB6D}" name="Cost Price" dataDxfId="19"/>
    <tableColumn id="7" xr3:uid="{36E74321-50BC-4E9E-B729-5742AC9A2457}" name="Selling Price" dataDxfId="18"/>
    <tableColumn id="14" xr3:uid="{631D8E26-621B-49B4-B9D7-7D2E0BF269D4}" name="Profit" dataDxfId="17">
      <calculatedColumnFormula>product_data[[#This Row],[Selling Price]]-product_data[[#This Row],[Cost Price]]</calculatedColumnFormula>
    </tableColumn>
    <tableColumn id="8" xr3:uid="{AD9A4F08-9B3A-4D4B-A4A4-A8CAC9B14587}" name="Stock" dataDxfId="16"/>
    <tableColumn id="9" xr3:uid="{F7F226CD-0948-4E36-B7CE-0BC7A46CDAFD}" name="Low Stock Alert" dataDxfId="15">
      <calculatedColumnFormula>IF(I2&lt;=10,"LOW","OK")</calculatedColumnFormula>
    </tableColumn>
    <tableColumn id="13" xr3:uid="{56665336-7F5E-4F72-9D02-E027262AE434}" name="Updated Stock" dataDxfId="14">
      <calculatedColumnFormula>product_data[[#This Row],[Stock]]-SUMIF(sales_data[Product ID],product_data[[#This Row],[Product ID]],sales_data[Quantity Sold])</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1"/>
  <sheetViews>
    <sheetView tabSelected="1" workbookViewId="0">
      <pane ySplit="1" topLeftCell="A2" activePane="bottomLeft" state="frozen"/>
      <selection pane="bottomLeft" activeCell="C21" activeCellId="1" sqref="A1:E1 C21"/>
    </sheetView>
  </sheetViews>
  <sheetFormatPr defaultRowHeight="14.4" x14ac:dyDescent="0.3"/>
  <cols>
    <col min="1" max="1" width="10.33203125" style="27" bestFit="1" customWidth="1"/>
    <col min="2" max="2" width="11.77734375" customWidth="1"/>
    <col min="3" max="3" width="14.33203125" customWidth="1"/>
    <col min="4" max="4" width="12.88671875" customWidth="1"/>
    <col min="5" max="5" width="14.44140625" customWidth="1"/>
  </cols>
  <sheetData>
    <row r="1" spans="1:5" x14ac:dyDescent="0.3">
      <c r="A1" s="24" t="s">
        <v>89</v>
      </c>
      <c r="B1" s="13" t="s">
        <v>0</v>
      </c>
      <c r="C1" s="13" t="s">
        <v>90</v>
      </c>
      <c r="D1" s="13" t="s">
        <v>6</v>
      </c>
      <c r="E1" s="14" t="s">
        <v>91</v>
      </c>
    </row>
    <row r="2" spans="1:5" x14ac:dyDescent="0.3">
      <c r="A2" s="25" t="s">
        <v>92</v>
      </c>
      <c r="B2" s="1" t="s">
        <v>9</v>
      </c>
      <c r="C2" s="1">
        <v>2</v>
      </c>
      <c r="D2" s="1">
        <f>_xlfn.XLOOKUP(B2,product_data[Product ID],product_data[Selling Price],0)</f>
        <v>899</v>
      </c>
      <c r="E2" s="15">
        <f t="shared" ref="E2:E33" si="0">C2*D2</f>
        <v>1798</v>
      </c>
    </row>
    <row r="3" spans="1:5" x14ac:dyDescent="0.3">
      <c r="A3" s="25" t="s">
        <v>92</v>
      </c>
      <c r="B3" s="1" t="s">
        <v>26</v>
      </c>
      <c r="C3" s="1">
        <v>1</v>
      </c>
      <c r="D3" s="1">
        <f>_xlfn.XLOOKUP(B3,product_data[Product ID],product_data[Selling Price],0)</f>
        <v>699</v>
      </c>
      <c r="E3" s="15">
        <f t="shared" si="0"/>
        <v>699</v>
      </c>
    </row>
    <row r="4" spans="1:5" x14ac:dyDescent="0.3">
      <c r="A4" s="25" t="s">
        <v>93</v>
      </c>
      <c r="B4" s="1" t="s">
        <v>40</v>
      </c>
      <c r="C4" s="1">
        <v>3</v>
      </c>
      <c r="D4" s="1">
        <f>_xlfn.XLOOKUP(B4,product_data[Product ID],product_data[Selling Price],0)</f>
        <v>1199</v>
      </c>
      <c r="E4" s="15">
        <f t="shared" si="0"/>
        <v>3597</v>
      </c>
    </row>
    <row r="5" spans="1:5" x14ac:dyDescent="0.3">
      <c r="A5" s="25" t="s">
        <v>93</v>
      </c>
      <c r="B5" s="1" t="s">
        <v>46</v>
      </c>
      <c r="C5" s="1">
        <v>2</v>
      </c>
      <c r="D5" s="1">
        <f>_xlfn.XLOOKUP(B5,product_data[Product ID],product_data[Selling Price],0)</f>
        <v>399</v>
      </c>
      <c r="E5" s="15">
        <f t="shared" si="0"/>
        <v>798</v>
      </c>
    </row>
    <row r="6" spans="1:5" x14ac:dyDescent="0.3">
      <c r="A6" s="25" t="s">
        <v>94</v>
      </c>
      <c r="B6" s="1" t="s">
        <v>14</v>
      </c>
      <c r="C6" s="1">
        <v>1</v>
      </c>
      <c r="D6" s="1">
        <f>_xlfn.XLOOKUP(B6,product_data[Product ID],product_data[Selling Price],0)</f>
        <v>849</v>
      </c>
      <c r="E6" s="15">
        <f t="shared" si="0"/>
        <v>849</v>
      </c>
    </row>
    <row r="7" spans="1:5" x14ac:dyDescent="0.3">
      <c r="A7" s="25" t="s">
        <v>94</v>
      </c>
      <c r="B7" s="1" t="s">
        <v>60</v>
      </c>
      <c r="C7" s="1">
        <v>2</v>
      </c>
      <c r="D7" s="1">
        <f>_xlfn.XLOOKUP(B7,product_data[Product ID],product_data[Selling Price],0)</f>
        <v>949</v>
      </c>
      <c r="E7" s="15">
        <f t="shared" si="0"/>
        <v>1898</v>
      </c>
    </row>
    <row r="8" spans="1:5" x14ac:dyDescent="0.3">
      <c r="A8" s="25" t="s">
        <v>95</v>
      </c>
      <c r="B8" s="1" t="s">
        <v>37</v>
      </c>
      <c r="C8" s="1">
        <v>1</v>
      </c>
      <c r="D8" s="1">
        <f>_xlfn.XLOOKUP(B8,product_data[Product ID],product_data[Selling Price],0)</f>
        <v>1299</v>
      </c>
      <c r="E8" s="15">
        <f t="shared" si="0"/>
        <v>1299</v>
      </c>
    </row>
    <row r="9" spans="1:5" x14ac:dyDescent="0.3">
      <c r="A9" s="25" t="s">
        <v>95</v>
      </c>
      <c r="B9" s="1" t="s">
        <v>73</v>
      </c>
      <c r="C9" s="1">
        <v>3</v>
      </c>
      <c r="D9" s="1">
        <f>_xlfn.XLOOKUP(B9,product_data[Product ID],product_data[Selling Price],0)</f>
        <v>299</v>
      </c>
      <c r="E9" s="15">
        <f t="shared" si="0"/>
        <v>897</v>
      </c>
    </row>
    <row r="10" spans="1:5" x14ac:dyDescent="0.3">
      <c r="A10" s="25" t="s">
        <v>96</v>
      </c>
      <c r="B10" s="1" t="s">
        <v>18</v>
      </c>
      <c r="C10" s="1">
        <v>2</v>
      </c>
      <c r="D10" s="1">
        <f>_xlfn.XLOOKUP(B10,product_data[Product ID],product_data[Selling Price],0)</f>
        <v>799</v>
      </c>
      <c r="E10" s="15">
        <f t="shared" si="0"/>
        <v>1598</v>
      </c>
    </row>
    <row r="11" spans="1:5" x14ac:dyDescent="0.3">
      <c r="A11" s="25" t="s">
        <v>96</v>
      </c>
      <c r="B11" s="1" t="s">
        <v>53</v>
      </c>
      <c r="C11" s="1">
        <v>1</v>
      </c>
      <c r="D11" s="1">
        <f>_xlfn.XLOOKUP(B11,product_data[Product ID],product_data[Selling Price],0)</f>
        <v>349</v>
      </c>
      <c r="E11" s="15">
        <f t="shared" si="0"/>
        <v>349</v>
      </c>
    </row>
    <row r="12" spans="1:5" x14ac:dyDescent="0.3">
      <c r="A12" s="25" t="s">
        <v>97</v>
      </c>
      <c r="B12" s="1" t="s">
        <v>30</v>
      </c>
      <c r="C12" s="1">
        <v>2</v>
      </c>
      <c r="D12" s="1">
        <f>_xlfn.XLOOKUP(B12,product_data[Product ID],product_data[Selling Price],0)</f>
        <v>649</v>
      </c>
      <c r="E12" s="15">
        <f t="shared" si="0"/>
        <v>1298</v>
      </c>
    </row>
    <row r="13" spans="1:5" x14ac:dyDescent="0.3">
      <c r="A13" s="25" t="s">
        <v>97</v>
      </c>
      <c r="B13" s="1" t="s">
        <v>67</v>
      </c>
      <c r="C13" s="1">
        <v>1</v>
      </c>
      <c r="D13" s="1">
        <f>_xlfn.XLOOKUP(B13,product_data[Product ID],product_data[Selling Price],0)</f>
        <v>1299</v>
      </c>
      <c r="E13" s="15">
        <f t="shared" si="0"/>
        <v>1299</v>
      </c>
    </row>
    <row r="14" spans="1:5" x14ac:dyDescent="0.3">
      <c r="A14" s="25" t="s">
        <v>98</v>
      </c>
      <c r="B14" s="1" t="s">
        <v>22</v>
      </c>
      <c r="C14" s="1">
        <v>1</v>
      </c>
      <c r="D14" s="1">
        <f>_xlfn.XLOOKUP(B14,product_data[Product ID],product_data[Selling Price],0)</f>
        <v>999</v>
      </c>
      <c r="E14" s="15">
        <f t="shared" si="0"/>
        <v>999</v>
      </c>
    </row>
    <row r="15" spans="1:5" x14ac:dyDescent="0.3">
      <c r="A15" s="25" t="s">
        <v>98</v>
      </c>
      <c r="B15" s="1" t="s">
        <v>50</v>
      </c>
      <c r="C15" s="1">
        <v>2</v>
      </c>
      <c r="D15" s="1">
        <f>_xlfn.XLOOKUP(B15,product_data[Product ID],product_data[Selling Price],0)</f>
        <v>499</v>
      </c>
      <c r="E15" s="15">
        <f t="shared" si="0"/>
        <v>998</v>
      </c>
    </row>
    <row r="16" spans="1:5" x14ac:dyDescent="0.3">
      <c r="A16" s="25" t="s">
        <v>99</v>
      </c>
      <c r="B16" s="1" t="s">
        <v>63</v>
      </c>
      <c r="C16" s="1">
        <v>1</v>
      </c>
      <c r="D16" s="1">
        <f>_xlfn.XLOOKUP(B16,product_data[Product ID],product_data[Selling Price],0)</f>
        <v>899</v>
      </c>
      <c r="E16" s="15">
        <f t="shared" si="0"/>
        <v>899</v>
      </c>
    </row>
    <row r="17" spans="1:5" x14ac:dyDescent="0.3">
      <c r="A17" s="25" t="s">
        <v>99</v>
      </c>
      <c r="B17" s="1" t="s">
        <v>75</v>
      </c>
      <c r="C17" s="1">
        <v>2</v>
      </c>
      <c r="D17" s="1">
        <f>_xlfn.XLOOKUP(B17,product_data[Product ID],product_data[Selling Price],0)</f>
        <v>899</v>
      </c>
      <c r="E17" s="15">
        <f t="shared" si="0"/>
        <v>1798</v>
      </c>
    </row>
    <row r="18" spans="1:5" x14ac:dyDescent="0.3">
      <c r="A18" s="25" t="s">
        <v>100</v>
      </c>
      <c r="B18" s="1" t="s">
        <v>34</v>
      </c>
      <c r="C18" s="1">
        <v>1</v>
      </c>
      <c r="D18" s="1">
        <f>_xlfn.XLOOKUP(B18,product_data[Product ID],product_data[Selling Price],0)</f>
        <v>799</v>
      </c>
      <c r="E18" s="15">
        <f t="shared" si="0"/>
        <v>799</v>
      </c>
    </row>
    <row r="19" spans="1:5" x14ac:dyDescent="0.3">
      <c r="A19" s="25" t="s">
        <v>100</v>
      </c>
      <c r="B19" s="1" t="s">
        <v>44</v>
      </c>
      <c r="C19" s="1">
        <v>1</v>
      </c>
      <c r="D19" s="1">
        <f>_xlfn.XLOOKUP(B19,product_data[Product ID],product_data[Selling Price],0)</f>
        <v>1499</v>
      </c>
      <c r="E19" s="15">
        <f t="shared" si="0"/>
        <v>1499</v>
      </c>
    </row>
    <row r="20" spans="1:5" x14ac:dyDescent="0.3">
      <c r="A20" s="25" t="s">
        <v>101</v>
      </c>
      <c r="B20" s="1" t="s">
        <v>32</v>
      </c>
      <c r="C20" s="1">
        <v>2</v>
      </c>
      <c r="D20" s="1">
        <f>_xlfn.XLOOKUP(B20,product_data[Product ID],product_data[Selling Price],0)</f>
        <v>699</v>
      </c>
      <c r="E20" s="15">
        <f t="shared" si="0"/>
        <v>1398</v>
      </c>
    </row>
    <row r="21" spans="1:5" x14ac:dyDescent="0.3">
      <c r="A21" s="25" t="s">
        <v>101</v>
      </c>
      <c r="B21" s="1" t="s">
        <v>55</v>
      </c>
      <c r="C21" s="1">
        <v>1</v>
      </c>
      <c r="D21" s="1">
        <f>_xlfn.XLOOKUP(B21,product_data[Product ID],product_data[Selling Price],0)</f>
        <v>599</v>
      </c>
      <c r="E21" s="15">
        <f t="shared" si="0"/>
        <v>599</v>
      </c>
    </row>
    <row r="22" spans="1:5" x14ac:dyDescent="0.3">
      <c r="A22" s="25" t="s">
        <v>102</v>
      </c>
      <c r="B22" s="1" t="s">
        <v>42</v>
      </c>
      <c r="C22" s="1">
        <v>1</v>
      </c>
      <c r="D22" s="1">
        <f>_xlfn.XLOOKUP(B22,product_data[Product ID],product_data[Selling Price],0)</f>
        <v>1399</v>
      </c>
      <c r="E22" s="15">
        <f t="shared" si="0"/>
        <v>1399</v>
      </c>
    </row>
    <row r="23" spans="1:5" x14ac:dyDescent="0.3">
      <c r="A23" s="25" t="s">
        <v>102</v>
      </c>
      <c r="B23" s="1" t="s">
        <v>71</v>
      </c>
      <c r="C23" s="1">
        <v>2</v>
      </c>
      <c r="D23" s="1">
        <f>_xlfn.XLOOKUP(B23,product_data[Product ID],product_data[Selling Price],0)</f>
        <v>699</v>
      </c>
      <c r="E23" s="15">
        <f t="shared" si="0"/>
        <v>1398</v>
      </c>
    </row>
    <row r="24" spans="1:5" x14ac:dyDescent="0.3">
      <c r="A24" s="25" t="s">
        <v>103</v>
      </c>
      <c r="B24" s="1" t="s">
        <v>57</v>
      </c>
      <c r="C24" s="1">
        <v>1</v>
      </c>
      <c r="D24" s="1">
        <f>_xlfn.XLOOKUP(B24,product_data[Product ID],product_data[Selling Price],0)</f>
        <v>1099</v>
      </c>
      <c r="E24" s="15">
        <f t="shared" si="0"/>
        <v>1099</v>
      </c>
    </row>
    <row r="25" spans="1:5" x14ac:dyDescent="0.3">
      <c r="A25" s="25" t="s">
        <v>103</v>
      </c>
      <c r="B25" s="1" t="s">
        <v>82</v>
      </c>
      <c r="C25" s="1">
        <v>1</v>
      </c>
      <c r="D25" s="1">
        <f>_xlfn.XLOOKUP(B25,product_data[Product ID],product_data[Selling Price],0)</f>
        <v>549</v>
      </c>
      <c r="E25" s="15">
        <f t="shared" si="0"/>
        <v>549</v>
      </c>
    </row>
    <row r="26" spans="1:5" x14ac:dyDescent="0.3">
      <c r="A26" s="25" t="s">
        <v>104</v>
      </c>
      <c r="B26" s="1" t="s">
        <v>65</v>
      </c>
      <c r="C26" s="1">
        <v>1</v>
      </c>
      <c r="D26" s="1">
        <f>_xlfn.XLOOKUP(B26,product_data[Product ID],product_data[Selling Price],0)</f>
        <v>999</v>
      </c>
      <c r="E26" s="15">
        <f t="shared" si="0"/>
        <v>999</v>
      </c>
    </row>
    <row r="27" spans="1:5" x14ac:dyDescent="0.3">
      <c r="A27" s="25" t="s">
        <v>104</v>
      </c>
      <c r="B27" s="1" t="s">
        <v>87</v>
      </c>
      <c r="C27" s="1">
        <v>2</v>
      </c>
      <c r="D27" s="1">
        <f>_xlfn.XLOOKUP(B27,product_data[Product ID],product_data[Selling Price],0)</f>
        <v>649</v>
      </c>
      <c r="E27" s="15">
        <f t="shared" si="0"/>
        <v>1298</v>
      </c>
    </row>
    <row r="28" spans="1:5" x14ac:dyDescent="0.3">
      <c r="A28" s="25" t="s">
        <v>105</v>
      </c>
      <c r="B28" s="1" t="s">
        <v>9</v>
      </c>
      <c r="C28" s="1">
        <v>1</v>
      </c>
      <c r="D28" s="1">
        <f>_xlfn.XLOOKUP(B28,product_data[Product ID],product_data[Selling Price],0)</f>
        <v>899</v>
      </c>
      <c r="E28" s="15">
        <f t="shared" si="0"/>
        <v>899</v>
      </c>
    </row>
    <row r="29" spans="1:5" x14ac:dyDescent="0.3">
      <c r="A29" s="25" t="s">
        <v>105</v>
      </c>
      <c r="B29" s="1" t="s">
        <v>37</v>
      </c>
      <c r="C29" s="1">
        <v>2</v>
      </c>
      <c r="D29" s="1">
        <f>_xlfn.XLOOKUP(B29,product_data[Product ID],product_data[Selling Price],0)</f>
        <v>1299</v>
      </c>
      <c r="E29" s="15">
        <f t="shared" si="0"/>
        <v>2598</v>
      </c>
    </row>
    <row r="30" spans="1:5" x14ac:dyDescent="0.3">
      <c r="A30" s="25" t="s">
        <v>106</v>
      </c>
      <c r="B30" s="1" t="s">
        <v>46</v>
      </c>
      <c r="C30" s="1">
        <v>3</v>
      </c>
      <c r="D30" s="1">
        <f>_xlfn.XLOOKUP(B30,product_data[Product ID],product_data[Selling Price],0)</f>
        <v>399</v>
      </c>
      <c r="E30" s="15">
        <f t="shared" si="0"/>
        <v>1197</v>
      </c>
    </row>
    <row r="31" spans="1:5" x14ac:dyDescent="0.3">
      <c r="A31" s="25" t="s">
        <v>106</v>
      </c>
      <c r="B31" s="1" t="s">
        <v>69</v>
      </c>
      <c r="C31" s="1">
        <v>1</v>
      </c>
      <c r="D31" s="1">
        <f>_xlfn.XLOOKUP(B31,product_data[Product ID],product_data[Selling Price],0)</f>
        <v>1249</v>
      </c>
      <c r="E31" s="15">
        <f t="shared" si="0"/>
        <v>1249</v>
      </c>
    </row>
    <row r="32" spans="1:5" x14ac:dyDescent="0.3">
      <c r="A32" s="25" t="s">
        <v>107</v>
      </c>
      <c r="B32" s="1" t="s">
        <v>60</v>
      </c>
      <c r="C32" s="1">
        <v>1</v>
      </c>
      <c r="D32" s="1">
        <f>_xlfn.XLOOKUP(B32,product_data[Product ID],product_data[Selling Price],0)</f>
        <v>949</v>
      </c>
      <c r="E32" s="15">
        <f t="shared" si="0"/>
        <v>949</v>
      </c>
    </row>
    <row r="33" spans="1:5" x14ac:dyDescent="0.3">
      <c r="A33" s="25" t="s">
        <v>107</v>
      </c>
      <c r="B33" s="1" t="s">
        <v>73</v>
      </c>
      <c r="C33" s="1">
        <v>2</v>
      </c>
      <c r="D33" s="1">
        <f>_xlfn.XLOOKUP(B33,product_data[Product ID],product_data[Selling Price],0)</f>
        <v>299</v>
      </c>
      <c r="E33" s="15">
        <f t="shared" si="0"/>
        <v>598</v>
      </c>
    </row>
    <row r="34" spans="1:5" x14ac:dyDescent="0.3">
      <c r="A34" s="25" t="s">
        <v>108</v>
      </c>
      <c r="B34" s="1" t="s">
        <v>26</v>
      </c>
      <c r="C34" s="1">
        <v>2</v>
      </c>
      <c r="D34" s="1">
        <f>_xlfn.XLOOKUP(B34,product_data[Product ID],product_data[Selling Price],0)</f>
        <v>699</v>
      </c>
      <c r="E34" s="15">
        <f t="shared" ref="E34:E61" si="1">C34*D34</f>
        <v>1398</v>
      </c>
    </row>
    <row r="35" spans="1:5" x14ac:dyDescent="0.3">
      <c r="A35" s="25" t="s">
        <v>108</v>
      </c>
      <c r="B35" s="1" t="s">
        <v>40</v>
      </c>
      <c r="C35" s="1">
        <v>1</v>
      </c>
      <c r="D35" s="1">
        <f>_xlfn.XLOOKUP(B35,product_data[Product ID],product_data[Selling Price],0)</f>
        <v>1199</v>
      </c>
      <c r="E35" s="15">
        <f t="shared" si="1"/>
        <v>1199</v>
      </c>
    </row>
    <row r="36" spans="1:5" x14ac:dyDescent="0.3">
      <c r="A36" s="25" t="s">
        <v>109</v>
      </c>
      <c r="B36" s="1" t="s">
        <v>18</v>
      </c>
      <c r="C36" s="1">
        <v>1</v>
      </c>
      <c r="D36" s="1">
        <f>_xlfn.XLOOKUP(B36,product_data[Product ID],product_data[Selling Price],0)</f>
        <v>799</v>
      </c>
      <c r="E36" s="15">
        <f t="shared" si="1"/>
        <v>799</v>
      </c>
    </row>
    <row r="37" spans="1:5" x14ac:dyDescent="0.3">
      <c r="A37" s="25" t="s">
        <v>109</v>
      </c>
      <c r="B37" s="1" t="s">
        <v>53</v>
      </c>
      <c r="C37" s="1">
        <v>2</v>
      </c>
      <c r="D37" s="1">
        <f>_xlfn.XLOOKUP(B37,product_data[Product ID],product_data[Selling Price],0)</f>
        <v>349</v>
      </c>
      <c r="E37" s="15">
        <f t="shared" si="1"/>
        <v>698</v>
      </c>
    </row>
    <row r="38" spans="1:5" x14ac:dyDescent="0.3">
      <c r="A38" s="25" t="s">
        <v>110</v>
      </c>
      <c r="B38" s="1" t="s">
        <v>30</v>
      </c>
      <c r="C38" s="1">
        <v>1</v>
      </c>
      <c r="D38" s="1">
        <f>_xlfn.XLOOKUP(B38,product_data[Product ID],product_data[Selling Price],0)</f>
        <v>649</v>
      </c>
      <c r="E38" s="15">
        <f t="shared" si="1"/>
        <v>649</v>
      </c>
    </row>
    <row r="39" spans="1:5" x14ac:dyDescent="0.3">
      <c r="A39" s="25" t="s">
        <v>110</v>
      </c>
      <c r="B39" s="1" t="s">
        <v>67</v>
      </c>
      <c r="C39" s="1">
        <v>2</v>
      </c>
      <c r="D39" s="1">
        <f>_xlfn.XLOOKUP(B39,product_data[Product ID],product_data[Selling Price],0)</f>
        <v>1299</v>
      </c>
      <c r="E39" s="15">
        <f t="shared" si="1"/>
        <v>2598</v>
      </c>
    </row>
    <row r="40" spans="1:5" x14ac:dyDescent="0.3">
      <c r="A40" s="25" t="s">
        <v>111</v>
      </c>
      <c r="B40" s="1" t="s">
        <v>50</v>
      </c>
      <c r="C40" s="1">
        <v>1</v>
      </c>
      <c r="D40" s="1">
        <f>_xlfn.XLOOKUP(B40,product_data[Product ID],product_data[Selling Price],0)</f>
        <v>499</v>
      </c>
      <c r="E40" s="15">
        <f t="shared" si="1"/>
        <v>499</v>
      </c>
    </row>
    <row r="41" spans="1:5" x14ac:dyDescent="0.3">
      <c r="A41" s="25" t="s">
        <v>111</v>
      </c>
      <c r="B41" s="1" t="s">
        <v>80</v>
      </c>
      <c r="C41" s="1">
        <v>1</v>
      </c>
      <c r="D41" s="1">
        <f>_xlfn.XLOOKUP(B41,product_data[Product ID],product_data[Selling Price],0)</f>
        <v>1349</v>
      </c>
      <c r="E41" s="15">
        <f t="shared" si="1"/>
        <v>1349</v>
      </c>
    </row>
    <row r="42" spans="1:5" x14ac:dyDescent="0.3">
      <c r="A42" s="25" t="s">
        <v>112</v>
      </c>
      <c r="B42" s="1" t="s">
        <v>14</v>
      </c>
      <c r="C42" s="1">
        <v>2</v>
      </c>
      <c r="D42" s="1">
        <f>_xlfn.XLOOKUP(B42,product_data[Product ID],product_data[Selling Price],0)</f>
        <v>849</v>
      </c>
      <c r="E42" s="15">
        <f t="shared" si="1"/>
        <v>1698</v>
      </c>
    </row>
    <row r="43" spans="1:5" x14ac:dyDescent="0.3">
      <c r="A43" s="25" t="s">
        <v>112</v>
      </c>
      <c r="B43" s="1" t="s">
        <v>75</v>
      </c>
      <c r="C43" s="1">
        <v>1</v>
      </c>
      <c r="D43" s="1">
        <f>_xlfn.XLOOKUP(B43,product_data[Product ID],product_data[Selling Price],0)</f>
        <v>899</v>
      </c>
      <c r="E43" s="15">
        <f t="shared" si="1"/>
        <v>899</v>
      </c>
    </row>
    <row r="44" spans="1:5" x14ac:dyDescent="0.3">
      <c r="A44" s="25" t="s">
        <v>113</v>
      </c>
      <c r="B44" s="1" t="s">
        <v>32</v>
      </c>
      <c r="C44" s="1">
        <v>1</v>
      </c>
      <c r="D44" s="1">
        <f>_xlfn.XLOOKUP(B44,product_data[Product ID],product_data[Selling Price],0)</f>
        <v>699</v>
      </c>
      <c r="E44" s="15">
        <f t="shared" si="1"/>
        <v>699</v>
      </c>
    </row>
    <row r="45" spans="1:5" x14ac:dyDescent="0.3">
      <c r="A45" s="25" t="s">
        <v>113</v>
      </c>
      <c r="B45" s="1" t="s">
        <v>55</v>
      </c>
      <c r="C45" s="1">
        <v>2</v>
      </c>
      <c r="D45" s="1">
        <f>_xlfn.XLOOKUP(B45,product_data[Product ID],product_data[Selling Price],0)</f>
        <v>599</v>
      </c>
      <c r="E45" s="15">
        <f t="shared" si="1"/>
        <v>1198</v>
      </c>
    </row>
    <row r="46" spans="1:5" x14ac:dyDescent="0.3">
      <c r="A46" s="25" t="s">
        <v>114</v>
      </c>
      <c r="B46" s="1" t="s">
        <v>42</v>
      </c>
      <c r="C46" s="1">
        <v>2</v>
      </c>
      <c r="D46" s="1">
        <f>_xlfn.XLOOKUP(B46,product_data[Product ID],product_data[Selling Price],0)</f>
        <v>1399</v>
      </c>
      <c r="E46" s="15">
        <f t="shared" si="1"/>
        <v>2798</v>
      </c>
    </row>
    <row r="47" spans="1:5" x14ac:dyDescent="0.3">
      <c r="A47" s="25" t="s">
        <v>114</v>
      </c>
      <c r="B47" s="1" t="s">
        <v>82</v>
      </c>
      <c r="C47" s="1">
        <v>1</v>
      </c>
      <c r="D47" s="1">
        <f>_xlfn.XLOOKUP(B47,product_data[Product ID],product_data[Selling Price],0)</f>
        <v>549</v>
      </c>
      <c r="E47" s="15">
        <f t="shared" si="1"/>
        <v>549</v>
      </c>
    </row>
    <row r="48" spans="1:5" x14ac:dyDescent="0.3">
      <c r="A48" s="25" t="s">
        <v>115</v>
      </c>
      <c r="B48" s="1" t="s">
        <v>22</v>
      </c>
      <c r="C48" s="1">
        <v>1</v>
      </c>
      <c r="D48" s="1">
        <f>_xlfn.XLOOKUP(B48,product_data[Product ID],product_data[Selling Price],0)</f>
        <v>999</v>
      </c>
      <c r="E48" s="15">
        <f t="shared" si="1"/>
        <v>999</v>
      </c>
    </row>
    <row r="49" spans="1:5" x14ac:dyDescent="0.3">
      <c r="A49" s="25" t="s">
        <v>115</v>
      </c>
      <c r="B49" s="1" t="s">
        <v>63</v>
      </c>
      <c r="C49" s="1">
        <v>2</v>
      </c>
      <c r="D49" s="1">
        <f>_xlfn.XLOOKUP(B49,product_data[Product ID],product_data[Selling Price],0)</f>
        <v>899</v>
      </c>
      <c r="E49" s="15">
        <f t="shared" si="1"/>
        <v>1798</v>
      </c>
    </row>
    <row r="50" spans="1:5" x14ac:dyDescent="0.3">
      <c r="A50" s="25" t="s">
        <v>116</v>
      </c>
      <c r="B50" s="1" t="s">
        <v>37</v>
      </c>
      <c r="C50" s="1">
        <v>1</v>
      </c>
      <c r="D50" s="1">
        <f>_xlfn.XLOOKUP(B50,product_data[Product ID],product_data[Selling Price],0)</f>
        <v>1299</v>
      </c>
      <c r="E50" s="15">
        <f t="shared" si="1"/>
        <v>1299</v>
      </c>
    </row>
    <row r="51" spans="1:5" x14ac:dyDescent="0.3">
      <c r="A51" s="25" t="s">
        <v>116</v>
      </c>
      <c r="B51" s="1" t="s">
        <v>71</v>
      </c>
      <c r="C51" s="1">
        <v>1</v>
      </c>
      <c r="D51" s="1">
        <f>_xlfn.XLOOKUP(B51,product_data[Product ID],product_data[Selling Price],0)</f>
        <v>699</v>
      </c>
      <c r="E51" s="15">
        <f t="shared" si="1"/>
        <v>699</v>
      </c>
    </row>
    <row r="52" spans="1:5" x14ac:dyDescent="0.3">
      <c r="A52" s="25" t="s">
        <v>117</v>
      </c>
      <c r="B52" s="1" t="s">
        <v>9</v>
      </c>
      <c r="C52" s="1">
        <v>2</v>
      </c>
      <c r="D52" s="1">
        <f>_xlfn.XLOOKUP(B52,product_data[Product ID],product_data[Selling Price],0)</f>
        <v>899</v>
      </c>
      <c r="E52" s="15">
        <f t="shared" si="1"/>
        <v>1798</v>
      </c>
    </row>
    <row r="53" spans="1:5" x14ac:dyDescent="0.3">
      <c r="A53" s="25" t="s">
        <v>117</v>
      </c>
      <c r="B53" s="1" t="s">
        <v>46</v>
      </c>
      <c r="C53" s="1">
        <v>1</v>
      </c>
      <c r="D53" s="1">
        <f>_xlfn.XLOOKUP(B53,product_data[Product ID],product_data[Selling Price],0)</f>
        <v>399</v>
      </c>
      <c r="E53" s="15">
        <f t="shared" si="1"/>
        <v>399</v>
      </c>
    </row>
    <row r="54" spans="1:5" x14ac:dyDescent="0.3">
      <c r="A54" s="25" t="s">
        <v>118</v>
      </c>
      <c r="B54" s="1" t="s">
        <v>40</v>
      </c>
      <c r="C54" s="1">
        <v>2</v>
      </c>
      <c r="D54" s="1">
        <f>_xlfn.XLOOKUP(B54,product_data[Product ID],product_data[Selling Price],0)</f>
        <v>1199</v>
      </c>
      <c r="E54" s="15">
        <f t="shared" si="1"/>
        <v>2398</v>
      </c>
    </row>
    <row r="55" spans="1:5" x14ac:dyDescent="0.3">
      <c r="A55" s="25" t="s">
        <v>118</v>
      </c>
      <c r="B55" s="1" t="s">
        <v>73</v>
      </c>
      <c r="C55" s="1">
        <v>1</v>
      </c>
      <c r="D55" s="1">
        <f>_xlfn.XLOOKUP(B55,product_data[Product ID],product_data[Selling Price],0)</f>
        <v>299</v>
      </c>
      <c r="E55" s="15">
        <f t="shared" si="1"/>
        <v>299</v>
      </c>
    </row>
    <row r="56" spans="1:5" x14ac:dyDescent="0.3">
      <c r="A56" s="25" t="s">
        <v>119</v>
      </c>
      <c r="B56" s="1" t="s">
        <v>18</v>
      </c>
      <c r="C56" s="1">
        <v>2</v>
      </c>
      <c r="D56" s="1">
        <f>_xlfn.XLOOKUP(B56,product_data[Product ID],product_data[Selling Price],0)</f>
        <v>799</v>
      </c>
      <c r="E56" s="15">
        <f t="shared" si="1"/>
        <v>1598</v>
      </c>
    </row>
    <row r="57" spans="1:5" x14ac:dyDescent="0.3">
      <c r="A57" s="25" t="s">
        <v>119</v>
      </c>
      <c r="B57" s="1" t="s">
        <v>53</v>
      </c>
      <c r="C57" s="1">
        <v>3</v>
      </c>
      <c r="D57" s="1">
        <f>_xlfn.XLOOKUP(B57,product_data[Product ID],product_data[Selling Price],0)</f>
        <v>349</v>
      </c>
      <c r="E57" s="15">
        <f t="shared" si="1"/>
        <v>1047</v>
      </c>
    </row>
    <row r="58" spans="1:5" x14ac:dyDescent="0.3">
      <c r="A58" s="25" t="s">
        <v>120</v>
      </c>
      <c r="B58" s="1" t="s">
        <v>30</v>
      </c>
      <c r="C58" s="1">
        <v>1</v>
      </c>
      <c r="D58" s="1">
        <f>_xlfn.XLOOKUP(B58,product_data[Product ID],product_data[Selling Price],0)</f>
        <v>649</v>
      </c>
      <c r="E58" s="15">
        <f t="shared" si="1"/>
        <v>649</v>
      </c>
    </row>
    <row r="59" spans="1:5" x14ac:dyDescent="0.3">
      <c r="A59" s="25" t="s">
        <v>120</v>
      </c>
      <c r="B59" s="1" t="s">
        <v>69</v>
      </c>
      <c r="C59" s="1">
        <v>1</v>
      </c>
      <c r="D59" s="1">
        <f>_xlfn.XLOOKUP(B59,product_data[Product ID],product_data[Selling Price],0)</f>
        <v>1249</v>
      </c>
      <c r="E59" s="15">
        <f t="shared" si="1"/>
        <v>1249</v>
      </c>
    </row>
    <row r="60" spans="1:5" x14ac:dyDescent="0.3">
      <c r="A60" s="25" t="s">
        <v>121</v>
      </c>
      <c r="B60" s="1" t="s">
        <v>57</v>
      </c>
      <c r="C60" s="1">
        <v>2</v>
      </c>
      <c r="D60" s="1">
        <f>_xlfn.XLOOKUP(B60,product_data[Product ID],product_data[Selling Price],0)</f>
        <v>1099</v>
      </c>
      <c r="E60" s="15">
        <f t="shared" si="1"/>
        <v>2198</v>
      </c>
    </row>
    <row r="61" spans="1:5" x14ac:dyDescent="0.3">
      <c r="A61" s="26" t="s">
        <v>121</v>
      </c>
      <c r="B61" s="16" t="s">
        <v>87</v>
      </c>
      <c r="C61" s="16">
        <v>1</v>
      </c>
      <c r="D61" s="16">
        <f>_xlfn.XLOOKUP(B61,product_data[Product ID],product_data[Selling Price],0)</f>
        <v>649</v>
      </c>
      <c r="E61" s="12">
        <f t="shared" si="1"/>
        <v>649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18409-7496-4E3F-9CB6-438B3DBBBB6D}">
  <dimension ref="A3:H53"/>
  <sheetViews>
    <sheetView workbookViewId="0">
      <selection activeCell="F39" sqref="F39"/>
    </sheetView>
  </sheetViews>
  <sheetFormatPr defaultRowHeight="14.4" x14ac:dyDescent="0.3"/>
  <cols>
    <col min="1" max="1" width="12.5546875" bestFit="1" customWidth="1"/>
    <col min="2" max="2" width="19.21875" bestFit="1" customWidth="1"/>
    <col min="5" max="5" width="12.5546875" bestFit="1" customWidth="1"/>
    <col min="6" max="7" width="19.21875" bestFit="1" customWidth="1"/>
    <col min="8" max="8" width="25.44140625" bestFit="1" customWidth="1"/>
    <col min="9" max="9" width="9.33203125" bestFit="1" customWidth="1"/>
  </cols>
  <sheetData>
    <row r="3" spans="1:8" x14ac:dyDescent="0.3">
      <c r="A3" s="17" t="s">
        <v>123</v>
      </c>
      <c r="B3" t="s">
        <v>125</v>
      </c>
      <c r="E3" s="17" t="s">
        <v>123</v>
      </c>
      <c r="F3" t="s">
        <v>125</v>
      </c>
      <c r="H3" t="s">
        <v>129</v>
      </c>
    </row>
    <row r="4" spans="1:8" x14ac:dyDescent="0.3">
      <c r="A4" s="18" t="s">
        <v>92</v>
      </c>
      <c r="B4" s="42">
        <v>2497</v>
      </c>
      <c r="E4" s="18" t="s">
        <v>38</v>
      </c>
      <c r="F4" s="42">
        <v>25830</v>
      </c>
      <c r="H4" s="42">
        <v>73709</v>
      </c>
    </row>
    <row r="5" spans="1:8" x14ac:dyDescent="0.3">
      <c r="A5" s="18" t="s">
        <v>93</v>
      </c>
      <c r="B5" s="42">
        <v>4395</v>
      </c>
      <c r="E5" s="18" t="s">
        <v>10</v>
      </c>
      <c r="F5" s="42">
        <v>21876</v>
      </c>
    </row>
    <row r="6" spans="1:8" x14ac:dyDescent="0.3">
      <c r="A6" s="18" t="s">
        <v>94</v>
      </c>
      <c r="B6" s="42">
        <v>2747</v>
      </c>
      <c r="E6" s="18" t="s">
        <v>27</v>
      </c>
      <c r="F6" s="42">
        <v>13232</v>
      </c>
    </row>
    <row r="7" spans="1:8" x14ac:dyDescent="0.3">
      <c r="A7" s="18" t="s">
        <v>95</v>
      </c>
      <c r="B7" s="42">
        <v>2196</v>
      </c>
      <c r="E7" s="18" t="s">
        <v>47</v>
      </c>
      <c r="F7" s="42">
        <v>12771</v>
      </c>
      <c r="H7" t="s">
        <v>130</v>
      </c>
    </row>
    <row r="8" spans="1:8" x14ac:dyDescent="0.3">
      <c r="A8" s="18" t="s">
        <v>96</v>
      </c>
      <c r="B8" s="42">
        <v>1947</v>
      </c>
      <c r="E8" s="18" t="s">
        <v>124</v>
      </c>
      <c r="F8" s="42">
        <v>73709</v>
      </c>
      <c r="H8" s="42">
        <v>91</v>
      </c>
    </row>
    <row r="9" spans="1:8" x14ac:dyDescent="0.3">
      <c r="A9" s="18" t="s">
        <v>97</v>
      </c>
      <c r="B9" s="42">
        <v>2597</v>
      </c>
    </row>
    <row r="10" spans="1:8" x14ac:dyDescent="0.3">
      <c r="A10" s="18" t="s">
        <v>98</v>
      </c>
      <c r="B10" s="42">
        <v>1997</v>
      </c>
    </row>
    <row r="11" spans="1:8" x14ac:dyDescent="0.3">
      <c r="A11" s="18" t="s">
        <v>99</v>
      </c>
      <c r="B11" s="42">
        <v>2697</v>
      </c>
      <c r="H11" t="s">
        <v>131</v>
      </c>
    </row>
    <row r="12" spans="1:8" x14ac:dyDescent="0.3">
      <c r="A12" s="18" t="s">
        <v>100</v>
      </c>
      <c r="B12" s="42">
        <v>2298</v>
      </c>
      <c r="H12" s="34">
        <v>1228.4833333333333</v>
      </c>
    </row>
    <row r="13" spans="1:8" x14ac:dyDescent="0.3">
      <c r="A13" s="18" t="s">
        <v>101</v>
      </c>
      <c r="B13" s="42">
        <v>1997</v>
      </c>
    </row>
    <row r="14" spans="1:8" x14ac:dyDescent="0.3">
      <c r="A14" s="18" t="s">
        <v>102</v>
      </c>
      <c r="B14" s="42">
        <v>2797</v>
      </c>
    </row>
    <row r="15" spans="1:8" x14ac:dyDescent="0.3">
      <c r="A15" s="18" t="s">
        <v>103</v>
      </c>
      <c r="B15" s="42">
        <v>1648</v>
      </c>
    </row>
    <row r="16" spans="1:8" x14ac:dyDescent="0.3">
      <c r="A16" s="18" t="s">
        <v>104</v>
      </c>
      <c r="B16" s="42">
        <v>2297</v>
      </c>
    </row>
    <row r="17" spans="1:7" x14ac:dyDescent="0.3">
      <c r="A17" s="18" t="s">
        <v>105</v>
      </c>
      <c r="B17" s="42">
        <v>3497</v>
      </c>
    </row>
    <row r="18" spans="1:7" x14ac:dyDescent="0.3">
      <c r="A18" s="18" t="s">
        <v>106</v>
      </c>
      <c r="B18" s="42">
        <v>2446</v>
      </c>
      <c r="F18" s="17" t="s">
        <v>123</v>
      </c>
      <c r="G18" t="s">
        <v>125</v>
      </c>
    </row>
    <row r="19" spans="1:7" x14ac:dyDescent="0.3">
      <c r="A19" s="18" t="s">
        <v>107</v>
      </c>
      <c r="B19" s="42">
        <v>1547</v>
      </c>
      <c r="F19" s="18" t="s">
        <v>41</v>
      </c>
      <c r="G19" s="42">
        <v>7194</v>
      </c>
    </row>
    <row r="20" spans="1:7" x14ac:dyDescent="0.3">
      <c r="A20" s="18" t="s">
        <v>108</v>
      </c>
      <c r="B20" s="42">
        <v>2597</v>
      </c>
      <c r="F20" s="18" t="s">
        <v>39</v>
      </c>
      <c r="G20" s="42">
        <v>5196</v>
      </c>
    </row>
    <row r="21" spans="1:7" x14ac:dyDescent="0.3">
      <c r="A21" s="18" t="s">
        <v>109</v>
      </c>
      <c r="B21" s="42">
        <v>1497</v>
      </c>
      <c r="F21" s="18" t="s">
        <v>11</v>
      </c>
      <c r="G21" s="42">
        <v>4495</v>
      </c>
    </row>
    <row r="22" spans="1:7" x14ac:dyDescent="0.3">
      <c r="A22" s="18" t="s">
        <v>110</v>
      </c>
      <c r="B22" s="42">
        <v>3247</v>
      </c>
      <c r="F22" s="18" t="s">
        <v>43</v>
      </c>
      <c r="G22" s="42">
        <v>4197</v>
      </c>
    </row>
    <row r="23" spans="1:7" x14ac:dyDescent="0.3">
      <c r="A23" s="18" t="s">
        <v>111</v>
      </c>
      <c r="B23" s="42">
        <v>1848</v>
      </c>
      <c r="F23" s="18" t="s">
        <v>19</v>
      </c>
      <c r="G23" s="42">
        <v>3995</v>
      </c>
    </row>
    <row r="24" spans="1:7" x14ac:dyDescent="0.3">
      <c r="A24" s="18" t="s">
        <v>112</v>
      </c>
      <c r="B24" s="42">
        <v>2597</v>
      </c>
      <c r="F24" s="18" t="s">
        <v>124</v>
      </c>
      <c r="G24" s="42">
        <v>25077</v>
      </c>
    </row>
    <row r="25" spans="1:7" x14ac:dyDescent="0.3">
      <c r="A25" s="18" t="s">
        <v>113</v>
      </c>
      <c r="B25" s="42">
        <v>1897</v>
      </c>
    </row>
    <row r="26" spans="1:7" x14ac:dyDescent="0.3">
      <c r="A26" s="18" t="s">
        <v>114</v>
      </c>
      <c r="B26" s="42">
        <v>3347</v>
      </c>
    </row>
    <row r="27" spans="1:7" x14ac:dyDescent="0.3">
      <c r="A27" s="18" t="s">
        <v>115</v>
      </c>
      <c r="B27" s="42">
        <v>2797</v>
      </c>
    </row>
    <row r="28" spans="1:7" x14ac:dyDescent="0.3">
      <c r="A28" s="18" t="s">
        <v>116</v>
      </c>
      <c r="B28" s="42">
        <v>1998</v>
      </c>
    </row>
    <row r="29" spans="1:7" x14ac:dyDescent="0.3">
      <c r="A29" s="18" t="s">
        <v>117</v>
      </c>
      <c r="B29" s="42">
        <v>2197</v>
      </c>
    </row>
    <row r="30" spans="1:7" x14ac:dyDescent="0.3">
      <c r="A30" s="18" t="s">
        <v>118</v>
      </c>
      <c r="B30" s="42">
        <v>2697</v>
      </c>
      <c r="F30" s="17" t="s">
        <v>128</v>
      </c>
      <c r="G30" t="s">
        <v>7</v>
      </c>
    </row>
    <row r="31" spans="1:7" x14ac:dyDescent="0.3">
      <c r="A31" s="18" t="s">
        <v>119</v>
      </c>
      <c r="B31" s="42">
        <v>2645</v>
      </c>
      <c r="F31" s="18" t="s">
        <v>85</v>
      </c>
      <c r="G31" s="42">
        <v>9</v>
      </c>
    </row>
    <row r="32" spans="1:7" x14ac:dyDescent="0.3">
      <c r="A32" s="18" t="s">
        <v>120</v>
      </c>
      <c r="B32" s="42">
        <v>1898</v>
      </c>
      <c r="F32" s="18" t="s">
        <v>23</v>
      </c>
      <c r="G32" s="42">
        <v>7</v>
      </c>
    </row>
    <row r="33" spans="1:7" x14ac:dyDescent="0.3">
      <c r="A33" s="18" t="s">
        <v>121</v>
      </c>
      <c r="B33" s="42">
        <v>2847</v>
      </c>
      <c r="F33" s="18" t="s">
        <v>41</v>
      </c>
      <c r="G33" s="42">
        <v>4</v>
      </c>
    </row>
    <row r="34" spans="1:7" x14ac:dyDescent="0.3">
      <c r="A34" s="18" t="s">
        <v>124</v>
      </c>
      <c r="B34" s="42">
        <v>73709</v>
      </c>
      <c r="F34" s="18" t="s">
        <v>64</v>
      </c>
      <c r="G34" s="42">
        <v>3</v>
      </c>
    </row>
    <row r="39" spans="1:7" x14ac:dyDescent="0.3">
      <c r="F39" s="17" t="s">
        <v>123</v>
      </c>
      <c r="G39" t="s">
        <v>127</v>
      </c>
    </row>
    <row r="40" spans="1:7" x14ac:dyDescent="0.3">
      <c r="F40" s="18" t="s">
        <v>12</v>
      </c>
      <c r="G40" s="42">
        <v>32</v>
      </c>
    </row>
    <row r="41" spans="1:7" x14ac:dyDescent="0.3">
      <c r="F41" s="18" t="s">
        <v>16</v>
      </c>
      <c r="G41" s="42">
        <v>27</v>
      </c>
    </row>
    <row r="42" spans="1:7" x14ac:dyDescent="0.3">
      <c r="F42" s="18" t="s">
        <v>20</v>
      </c>
      <c r="G42" s="42">
        <v>23</v>
      </c>
    </row>
    <row r="43" spans="1:7" x14ac:dyDescent="0.3">
      <c r="F43" s="18" t="s">
        <v>24</v>
      </c>
      <c r="G43" s="42">
        <v>9</v>
      </c>
    </row>
    <row r="48" spans="1:7" x14ac:dyDescent="0.3">
      <c r="F48" s="17" t="s">
        <v>128</v>
      </c>
      <c r="G48" t="s">
        <v>133</v>
      </c>
    </row>
    <row r="49" spans="6:7" x14ac:dyDescent="0.3">
      <c r="F49" s="18" t="s">
        <v>45</v>
      </c>
      <c r="G49" s="42">
        <v>749</v>
      </c>
    </row>
    <row r="50" spans="6:7" x14ac:dyDescent="0.3">
      <c r="F50" s="18" t="s">
        <v>43</v>
      </c>
      <c r="G50" s="42">
        <v>679</v>
      </c>
    </row>
    <row r="51" spans="6:7" x14ac:dyDescent="0.3">
      <c r="F51" s="18" t="s">
        <v>81</v>
      </c>
      <c r="G51" s="42">
        <v>659</v>
      </c>
    </row>
    <row r="52" spans="6:7" x14ac:dyDescent="0.3">
      <c r="F52" s="18" t="s">
        <v>85</v>
      </c>
      <c r="G52" s="42">
        <v>599</v>
      </c>
    </row>
    <row r="53" spans="6:7" x14ac:dyDescent="0.3">
      <c r="F53" s="18" t="s">
        <v>68</v>
      </c>
      <c r="G53" s="42">
        <v>599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workbookViewId="0">
      <pane ySplit="1" topLeftCell="A2" activePane="bottomLeft" state="frozen"/>
      <selection pane="bottomLeft" activeCell="Q11" sqref="Q11"/>
    </sheetView>
  </sheetViews>
  <sheetFormatPr defaultRowHeight="15.6" x14ac:dyDescent="0.3"/>
  <cols>
    <col min="1" max="1" width="12.77734375" style="2" customWidth="1"/>
    <col min="2" max="2" width="11.109375" style="2" customWidth="1"/>
    <col min="3" max="3" width="14.109375" style="2" bestFit="1" customWidth="1"/>
    <col min="4" max="4" width="6.44140625" style="2" customWidth="1"/>
    <col min="5" max="5" width="8.44140625" style="2" bestFit="1" customWidth="1"/>
    <col min="6" max="6" width="12.109375" style="22" customWidth="1"/>
    <col min="7" max="8" width="14" style="22" customWidth="1"/>
    <col min="9" max="9" width="7.88671875" style="22" customWidth="1"/>
    <col min="10" max="10" width="17.33203125" style="2" customWidth="1"/>
    <col min="11" max="11" width="17" style="22" bestFit="1" customWidth="1"/>
    <col min="12" max="16384" width="8.88671875" style="2"/>
  </cols>
  <sheetData>
    <row r="1" spans="1:11" x14ac:dyDescent="0.3">
      <c r="A1" s="6" t="s">
        <v>0</v>
      </c>
      <c r="B1" s="7" t="s">
        <v>1</v>
      </c>
      <c r="C1" s="7" t="s">
        <v>2</v>
      </c>
      <c r="D1" s="7" t="s">
        <v>3</v>
      </c>
      <c r="E1" s="7" t="s">
        <v>4</v>
      </c>
      <c r="F1" s="19" t="s">
        <v>5</v>
      </c>
      <c r="G1" s="19" t="s">
        <v>6</v>
      </c>
      <c r="H1" s="19" t="s">
        <v>133</v>
      </c>
      <c r="I1" s="19" t="s">
        <v>7</v>
      </c>
      <c r="J1" s="8" t="s">
        <v>8</v>
      </c>
      <c r="K1" s="19" t="s">
        <v>122</v>
      </c>
    </row>
    <row r="2" spans="1:11" x14ac:dyDescent="0.3">
      <c r="A2" s="4" t="s">
        <v>9</v>
      </c>
      <c r="B2" s="3" t="s">
        <v>10</v>
      </c>
      <c r="C2" s="3" t="s">
        <v>11</v>
      </c>
      <c r="D2" s="3" t="s">
        <v>12</v>
      </c>
      <c r="E2" s="3" t="s">
        <v>13</v>
      </c>
      <c r="F2" s="20">
        <v>450</v>
      </c>
      <c r="G2" s="20">
        <v>899</v>
      </c>
      <c r="H2" s="20">
        <f>product_data[[#This Row],[Selling Price]]-product_data[[#This Row],[Cost Price]]</f>
        <v>449</v>
      </c>
      <c r="I2" s="20">
        <v>25</v>
      </c>
      <c r="J2" s="5" t="str">
        <f t="shared" ref="J2:J31" si="0">IF(I2&lt;=10,"LOW","OK")</f>
        <v>OK</v>
      </c>
      <c r="K2" s="23">
        <f>product_data[[#This Row],[Stock]]-SUMIF(sales_data[Product ID],product_data[[#This Row],[Product ID]],sales_data[Quantity Sold])</f>
        <v>20</v>
      </c>
    </row>
    <row r="3" spans="1:11" x14ac:dyDescent="0.3">
      <c r="A3" s="4" t="s">
        <v>14</v>
      </c>
      <c r="B3" s="3" t="s">
        <v>10</v>
      </c>
      <c r="C3" s="3" t="s">
        <v>15</v>
      </c>
      <c r="D3" s="3" t="s">
        <v>16</v>
      </c>
      <c r="E3" s="3" t="s">
        <v>17</v>
      </c>
      <c r="F3" s="20">
        <v>420</v>
      </c>
      <c r="G3" s="20">
        <v>849</v>
      </c>
      <c r="H3" s="20">
        <f>product_data[[#This Row],[Selling Price]]-product_data[[#This Row],[Cost Price]]</f>
        <v>429</v>
      </c>
      <c r="I3" s="20">
        <v>18</v>
      </c>
      <c r="J3" s="5" t="str">
        <f t="shared" si="0"/>
        <v>OK</v>
      </c>
      <c r="K3" s="20">
        <f>product_data[[#This Row],[Stock]]-SUMIF(sales_data[Product ID],product_data[[#This Row],[Product ID]],sales_data[Quantity Sold])</f>
        <v>15</v>
      </c>
    </row>
    <row r="4" spans="1:11" x14ac:dyDescent="0.3">
      <c r="A4" s="4" t="s">
        <v>18</v>
      </c>
      <c r="B4" s="3" t="s">
        <v>10</v>
      </c>
      <c r="C4" s="3" t="s">
        <v>19</v>
      </c>
      <c r="D4" s="3" t="s">
        <v>20</v>
      </c>
      <c r="E4" s="3" t="s">
        <v>21</v>
      </c>
      <c r="F4" s="20">
        <v>380</v>
      </c>
      <c r="G4" s="20">
        <v>799</v>
      </c>
      <c r="H4" s="20">
        <f>product_data[[#This Row],[Selling Price]]-product_data[[#This Row],[Cost Price]]</f>
        <v>419</v>
      </c>
      <c r="I4" s="20">
        <v>30</v>
      </c>
      <c r="J4" s="5" t="str">
        <f t="shared" si="0"/>
        <v>OK</v>
      </c>
      <c r="K4" s="20">
        <f>product_data[[#This Row],[Stock]]-SUMIF(sales_data[Product ID],product_data[[#This Row],[Product ID]],sales_data[Quantity Sold])</f>
        <v>25</v>
      </c>
    </row>
    <row r="5" spans="1:11" x14ac:dyDescent="0.3">
      <c r="A5" s="4" t="s">
        <v>22</v>
      </c>
      <c r="B5" s="3" t="s">
        <v>10</v>
      </c>
      <c r="C5" s="3" t="s">
        <v>23</v>
      </c>
      <c r="D5" s="3" t="s">
        <v>24</v>
      </c>
      <c r="E5" s="3" t="s">
        <v>25</v>
      </c>
      <c r="F5" s="20">
        <v>520</v>
      </c>
      <c r="G5" s="20">
        <v>999</v>
      </c>
      <c r="H5" s="20">
        <f>product_data[[#This Row],[Selling Price]]-product_data[[#This Row],[Cost Price]]</f>
        <v>479</v>
      </c>
      <c r="I5" s="20">
        <v>9</v>
      </c>
      <c r="J5" s="5" t="str">
        <f t="shared" si="0"/>
        <v>LOW</v>
      </c>
      <c r="K5" s="20">
        <f>product_data[[#This Row],[Stock]]-SUMIF(sales_data[Product ID],product_data[[#This Row],[Product ID]],sales_data[Quantity Sold])</f>
        <v>7</v>
      </c>
    </row>
    <row r="6" spans="1:11" x14ac:dyDescent="0.3">
      <c r="A6" s="4" t="s">
        <v>26</v>
      </c>
      <c r="B6" s="3" t="s">
        <v>27</v>
      </c>
      <c r="C6" s="3" t="s">
        <v>28</v>
      </c>
      <c r="D6" s="3" t="s">
        <v>12</v>
      </c>
      <c r="E6" s="3" t="s">
        <v>29</v>
      </c>
      <c r="F6" s="20">
        <v>350</v>
      </c>
      <c r="G6" s="20">
        <v>699</v>
      </c>
      <c r="H6" s="20">
        <f>product_data[[#This Row],[Selling Price]]-product_data[[#This Row],[Cost Price]]</f>
        <v>349</v>
      </c>
      <c r="I6" s="20">
        <v>40</v>
      </c>
      <c r="J6" s="5" t="str">
        <f t="shared" si="0"/>
        <v>OK</v>
      </c>
      <c r="K6" s="20">
        <f>product_data[[#This Row],[Stock]]-SUMIF(sales_data[Product ID],product_data[[#This Row],[Product ID]],sales_data[Quantity Sold])</f>
        <v>37</v>
      </c>
    </row>
    <row r="7" spans="1:11" x14ac:dyDescent="0.3">
      <c r="A7" s="4" t="s">
        <v>30</v>
      </c>
      <c r="B7" s="3" t="s">
        <v>27</v>
      </c>
      <c r="C7" s="3" t="s">
        <v>31</v>
      </c>
      <c r="D7" s="3" t="s">
        <v>16</v>
      </c>
      <c r="E7" s="3" t="s">
        <v>13</v>
      </c>
      <c r="F7" s="20">
        <v>300</v>
      </c>
      <c r="G7" s="20">
        <v>649</v>
      </c>
      <c r="H7" s="20">
        <f>product_data[[#This Row],[Selling Price]]-product_data[[#This Row],[Cost Price]]</f>
        <v>349</v>
      </c>
      <c r="I7" s="20">
        <v>35</v>
      </c>
      <c r="J7" s="5" t="str">
        <f t="shared" si="0"/>
        <v>OK</v>
      </c>
      <c r="K7" s="20">
        <f>product_data[[#This Row],[Stock]]-SUMIF(sales_data[Product ID],product_data[[#This Row],[Product ID]],sales_data[Quantity Sold])</f>
        <v>31</v>
      </c>
    </row>
    <row r="8" spans="1:11" x14ac:dyDescent="0.3">
      <c r="A8" s="4" t="s">
        <v>32</v>
      </c>
      <c r="B8" s="3" t="s">
        <v>27</v>
      </c>
      <c r="C8" s="3" t="s">
        <v>33</v>
      </c>
      <c r="D8" s="3" t="s">
        <v>20</v>
      </c>
      <c r="E8" s="3" t="s">
        <v>17</v>
      </c>
      <c r="F8" s="20">
        <v>320</v>
      </c>
      <c r="G8" s="20">
        <v>699</v>
      </c>
      <c r="H8" s="20">
        <f>product_data[[#This Row],[Selling Price]]-product_data[[#This Row],[Cost Price]]</f>
        <v>379</v>
      </c>
      <c r="I8" s="20">
        <v>28</v>
      </c>
      <c r="J8" s="5" t="str">
        <f t="shared" si="0"/>
        <v>OK</v>
      </c>
      <c r="K8" s="20">
        <f>product_data[[#This Row],[Stock]]-SUMIF(sales_data[Product ID],product_data[[#This Row],[Product ID]],sales_data[Quantity Sold])</f>
        <v>25</v>
      </c>
    </row>
    <row r="9" spans="1:11" x14ac:dyDescent="0.3">
      <c r="A9" s="4" t="s">
        <v>34</v>
      </c>
      <c r="B9" s="3" t="s">
        <v>27</v>
      </c>
      <c r="C9" s="3" t="s">
        <v>35</v>
      </c>
      <c r="D9" s="3" t="s">
        <v>24</v>
      </c>
      <c r="E9" s="3" t="s">
        <v>36</v>
      </c>
      <c r="F9" s="20">
        <v>400</v>
      </c>
      <c r="G9" s="20">
        <v>799</v>
      </c>
      <c r="H9" s="20">
        <f>product_data[[#This Row],[Selling Price]]-product_data[[#This Row],[Cost Price]]</f>
        <v>399</v>
      </c>
      <c r="I9" s="20">
        <v>15</v>
      </c>
      <c r="J9" s="5" t="str">
        <f t="shared" si="0"/>
        <v>OK</v>
      </c>
      <c r="K9" s="20">
        <f>product_data[[#This Row],[Stock]]-SUMIF(sales_data[Product ID],product_data[[#This Row],[Product ID]],sales_data[Quantity Sold])</f>
        <v>14</v>
      </c>
    </row>
    <row r="10" spans="1:11" x14ac:dyDescent="0.3">
      <c r="A10" s="4" t="s">
        <v>37</v>
      </c>
      <c r="B10" s="3" t="s">
        <v>38</v>
      </c>
      <c r="C10" s="3" t="s">
        <v>39</v>
      </c>
      <c r="D10" s="3" t="s">
        <v>12</v>
      </c>
      <c r="E10" s="3" t="s">
        <v>13</v>
      </c>
      <c r="F10" s="20">
        <v>700</v>
      </c>
      <c r="G10" s="20">
        <v>1299</v>
      </c>
      <c r="H10" s="20">
        <f>product_data[[#This Row],[Selling Price]]-product_data[[#This Row],[Cost Price]]</f>
        <v>599</v>
      </c>
      <c r="I10" s="20">
        <v>22</v>
      </c>
      <c r="J10" s="5" t="str">
        <f t="shared" si="0"/>
        <v>OK</v>
      </c>
      <c r="K10" s="20">
        <f>product_data[[#This Row],[Stock]]-SUMIF(sales_data[Product ID],product_data[[#This Row],[Product ID]],sales_data[Quantity Sold])</f>
        <v>18</v>
      </c>
    </row>
    <row r="11" spans="1:11" x14ac:dyDescent="0.3">
      <c r="A11" s="4" t="s">
        <v>40</v>
      </c>
      <c r="B11" s="3" t="s">
        <v>38</v>
      </c>
      <c r="C11" s="3" t="s">
        <v>41</v>
      </c>
      <c r="D11" s="3" t="s">
        <v>16</v>
      </c>
      <c r="E11" s="3" t="s">
        <v>25</v>
      </c>
      <c r="F11" s="20">
        <v>650</v>
      </c>
      <c r="G11" s="20">
        <v>1199</v>
      </c>
      <c r="H11" s="20">
        <f>product_data[[#This Row],[Selling Price]]-product_data[[#This Row],[Cost Price]]</f>
        <v>549</v>
      </c>
      <c r="I11" s="20">
        <v>10</v>
      </c>
      <c r="J11" s="5" t="str">
        <f t="shared" si="0"/>
        <v>LOW</v>
      </c>
      <c r="K11" s="20">
        <f>product_data[[#This Row],[Stock]]-SUMIF(sales_data[Product ID],product_data[[#This Row],[Product ID]],sales_data[Quantity Sold])</f>
        <v>4</v>
      </c>
    </row>
    <row r="12" spans="1:11" x14ac:dyDescent="0.3">
      <c r="A12" s="4" t="s">
        <v>42</v>
      </c>
      <c r="B12" s="3" t="s">
        <v>38</v>
      </c>
      <c r="C12" s="3" t="s">
        <v>43</v>
      </c>
      <c r="D12" s="3" t="s">
        <v>20</v>
      </c>
      <c r="E12" s="3" t="s">
        <v>36</v>
      </c>
      <c r="F12" s="20">
        <v>720</v>
      </c>
      <c r="G12" s="20">
        <v>1399</v>
      </c>
      <c r="H12" s="20">
        <f>product_data[[#This Row],[Selling Price]]-product_data[[#This Row],[Cost Price]]</f>
        <v>679</v>
      </c>
      <c r="I12" s="20">
        <v>14</v>
      </c>
      <c r="J12" s="5" t="str">
        <f t="shared" si="0"/>
        <v>OK</v>
      </c>
      <c r="K12" s="20">
        <f>product_data[[#This Row],[Stock]]-SUMIF(sales_data[Product ID],product_data[[#This Row],[Product ID]],sales_data[Quantity Sold])</f>
        <v>11</v>
      </c>
    </row>
    <row r="13" spans="1:11" x14ac:dyDescent="0.3">
      <c r="A13" s="4" t="s">
        <v>44</v>
      </c>
      <c r="B13" s="3" t="s">
        <v>38</v>
      </c>
      <c r="C13" s="3" t="s">
        <v>45</v>
      </c>
      <c r="D13" s="3" t="s">
        <v>24</v>
      </c>
      <c r="E13" s="3" t="s">
        <v>13</v>
      </c>
      <c r="F13" s="20">
        <v>750</v>
      </c>
      <c r="G13" s="20">
        <v>1499</v>
      </c>
      <c r="H13" s="20">
        <f>product_data[[#This Row],[Selling Price]]-product_data[[#This Row],[Cost Price]]</f>
        <v>749</v>
      </c>
      <c r="I13" s="20">
        <v>11</v>
      </c>
      <c r="J13" s="5" t="str">
        <f t="shared" si="0"/>
        <v>OK</v>
      </c>
      <c r="K13" s="20">
        <f>product_data[[#This Row],[Stock]]-SUMIF(sales_data[Product ID],product_data[[#This Row],[Product ID]],sales_data[Quantity Sold])</f>
        <v>10</v>
      </c>
    </row>
    <row r="14" spans="1:11" x14ac:dyDescent="0.3">
      <c r="A14" s="4" t="s">
        <v>46</v>
      </c>
      <c r="B14" s="3" t="s">
        <v>47</v>
      </c>
      <c r="C14" s="3" t="s">
        <v>48</v>
      </c>
      <c r="D14" s="3" t="s">
        <v>12</v>
      </c>
      <c r="E14" s="3" t="s">
        <v>49</v>
      </c>
      <c r="F14" s="20">
        <v>200</v>
      </c>
      <c r="G14" s="20">
        <v>399</v>
      </c>
      <c r="H14" s="20">
        <f>product_data[[#This Row],[Selling Price]]-product_data[[#This Row],[Cost Price]]</f>
        <v>199</v>
      </c>
      <c r="I14" s="20">
        <v>45</v>
      </c>
      <c r="J14" s="5" t="str">
        <f t="shared" si="0"/>
        <v>OK</v>
      </c>
      <c r="K14" s="20">
        <f>product_data[[#This Row],[Stock]]-SUMIF(sales_data[Product ID],product_data[[#This Row],[Product ID]],sales_data[Quantity Sold])</f>
        <v>39</v>
      </c>
    </row>
    <row r="15" spans="1:11" x14ac:dyDescent="0.3">
      <c r="A15" s="4" t="s">
        <v>50</v>
      </c>
      <c r="B15" s="3" t="s">
        <v>47</v>
      </c>
      <c r="C15" s="3" t="s">
        <v>51</v>
      </c>
      <c r="D15" s="3" t="s">
        <v>16</v>
      </c>
      <c r="E15" s="3" t="s">
        <v>52</v>
      </c>
      <c r="F15" s="20">
        <v>250</v>
      </c>
      <c r="G15" s="20">
        <v>499</v>
      </c>
      <c r="H15" s="20">
        <f>product_data[[#This Row],[Selling Price]]-product_data[[#This Row],[Cost Price]]</f>
        <v>249</v>
      </c>
      <c r="I15" s="20">
        <v>32</v>
      </c>
      <c r="J15" s="5" t="str">
        <f t="shared" si="0"/>
        <v>OK</v>
      </c>
      <c r="K15" s="20">
        <f>product_data[[#This Row],[Stock]]-SUMIF(sales_data[Product ID],product_data[[#This Row],[Product ID]],sales_data[Quantity Sold])</f>
        <v>29</v>
      </c>
    </row>
    <row r="16" spans="1:11" x14ac:dyDescent="0.3">
      <c r="A16" s="4" t="s">
        <v>53</v>
      </c>
      <c r="B16" s="3" t="s">
        <v>47</v>
      </c>
      <c r="C16" s="3" t="s">
        <v>54</v>
      </c>
      <c r="D16" s="3" t="s">
        <v>20</v>
      </c>
      <c r="E16" s="3" t="s">
        <v>13</v>
      </c>
      <c r="F16" s="20">
        <v>180</v>
      </c>
      <c r="G16" s="20">
        <v>349</v>
      </c>
      <c r="H16" s="20">
        <f>product_data[[#This Row],[Selling Price]]-product_data[[#This Row],[Cost Price]]</f>
        <v>169</v>
      </c>
      <c r="I16" s="20">
        <v>50</v>
      </c>
      <c r="J16" s="5" t="str">
        <f t="shared" si="0"/>
        <v>OK</v>
      </c>
      <c r="K16" s="20">
        <f>product_data[[#This Row],[Stock]]-SUMIF(sales_data[Product ID],product_data[[#This Row],[Product ID]],sales_data[Quantity Sold])</f>
        <v>44</v>
      </c>
    </row>
    <row r="17" spans="1:11" x14ac:dyDescent="0.3">
      <c r="A17" s="4" t="s">
        <v>55</v>
      </c>
      <c r="B17" s="3" t="s">
        <v>47</v>
      </c>
      <c r="C17" s="3" t="s">
        <v>56</v>
      </c>
      <c r="D17" s="3" t="s">
        <v>24</v>
      </c>
      <c r="E17" s="3" t="s">
        <v>17</v>
      </c>
      <c r="F17" s="20">
        <v>300</v>
      </c>
      <c r="G17" s="20">
        <v>599</v>
      </c>
      <c r="H17" s="20">
        <f>product_data[[#This Row],[Selling Price]]-product_data[[#This Row],[Cost Price]]</f>
        <v>299</v>
      </c>
      <c r="I17" s="20">
        <v>20</v>
      </c>
      <c r="J17" s="5" t="str">
        <f t="shared" si="0"/>
        <v>OK</v>
      </c>
      <c r="K17" s="20">
        <f>product_data[[#This Row],[Stock]]-SUMIF(sales_data[Product ID],product_data[[#This Row],[Product ID]],sales_data[Quantity Sold])</f>
        <v>17</v>
      </c>
    </row>
    <row r="18" spans="1:11" x14ac:dyDescent="0.3">
      <c r="A18" s="4" t="s">
        <v>57</v>
      </c>
      <c r="B18" s="3" t="s">
        <v>10</v>
      </c>
      <c r="C18" s="3" t="s">
        <v>58</v>
      </c>
      <c r="D18" s="3" t="s">
        <v>12</v>
      </c>
      <c r="E18" s="3" t="s">
        <v>59</v>
      </c>
      <c r="F18" s="20">
        <v>550</v>
      </c>
      <c r="G18" s="20">
        <v>1099</v>
      </c>
      <c r="H18" s="20">
        <f>product_data[[#This Row],[Selling Price]]-product_data[[#This Row],[Cost Price]]</f>
        <v>549</v>
      </c>
      <c r="I18" s="20">
        <v>16</v>
      </c>
      <c r="J18" s="5" t="str">
        <f t="shared" si="0"/>
        <v>OK</v>
      </c>
      <c r="K18" s="20">
        <f>product_data[[#This Row],[Stock]]-SUMIF(sales_data[Product ID],product_data[[#This Row],[Product ID]],sales_data[Quantity Sold])</f>
        <v>13</v>
      </c>
    </row>
    <row r="19" spans="1:11" x14ac:dyDescent="0.3">
      <c r="A19" s="4" t="s">
        <v>60</v>
      </c>
      <c r="B19" s="3" t="s">
        <v>10</v>
      </c>
      <c r="C19" s="3" t="s">
        <v>61</v>
      </c>
      <c r="D19" s="3" t="s">
        <v>16</v>
      </c>
      <c r="E19" s="3" t="s">
        <v>62</v>
      </c>
      <c r="F19" s="20">
        <v>480</v>
      </c>
      <c r="G19" s="20">
        <v>949</v>
      </c>
      <c r="H19" s="20">
        <f>product_data[[#This Row],[Selling Price]]-product_data[[#This Row],[Cost Price]]</f>
        <v>469</v>
      </c>
      <c r="I19" s="20">
        <v>21</v>
      </c>
      <c r="J19" s="5" t="str">
        <f t="shared" si="0"/>
        <v>OK</v>
      </c>
      <c r="K19" s="20">
        <f>product_data[[#This Row],[Stock]]-SUMIF(sales_data[Product ID],product_data[[#This Row],[Product ID]],sales_data[Quantity Sold])</f>
        <v>18</v>
      </c>
    </row>
    <row r="20" spans="1:11" x14ac:dyDescent="0.3">
      <c r="A20" s="4" t="s">
        <v>63</v>
      </c>
      <c r="B20" s="3" t="s">
        <v>27</v>
      </c>
      <c r="C20" s="3" t="s">
        <v>64</v>
      </c>
      <c r="D20" s="3" t="s">
        <v>20</v>
      </c>
      <c r="E20" s="3" t="s">
        <v>13</v>
      </c>
      <c r="F20" s="20">
        <v>420</v>
      </c>
      <c r="G20" s="20">
        <v>899</v>
      </c>
      <c r="H20" s="20">
        <f>product_data[[#This Row],[Selling Price]]-product_data[[#This Row],[Cost Price]]</f>
        <v>479</v>
      </c>
      <c r="I20" s="20">
        <v>6</v>
      </c>
      <c r="J20" s="5" t="str">
        <f t="shared" si="0"/>
        <v>LOW</v>
      </c>
      <c r="K20" s="20">
        <f>product_data[[#This Row],[Stock]]-SUMIF(sales_data[Product ID],product_data[[#This Row],[Product ID]],sales_data[Quantity Sold])</f>
        <v>3</v>
      </c>
    </row>
    <row r="21" spans="1:11" x14ac:dyDescent="0.3">
      <c r="A21" s="4" t="s">
        <v>65</v>
      </c>
      <c r="B21" s="3" t="s">
        <v>27</v>
      </c>
      <c r="C21" s="3" t="s">
        <v>66</v>
      </c>
      <c r="D21" s="3" t="s">
        <v>24</v>
      </c>
      <c r="E21" s="3" t="s">
        <v>25</v>
      </c>
      <c r="F21" s="20">
        <v>500</v>
      </c>
      <c r="G21" s="20">
        <v>999</v>
      </c>
      <c r="H21" s="20">
        <f>product_data[[#This Row],[Selling Price]]-product_data[[#This Row],[Cost Price]]</f>
        <v>499</v>
      </c>
      <c r="I21" s="20">
        <v>12</v>
      </c>
      <c r="J21" s="5" t="str">
        <f t="shared" si="0"/>
        <v>OK</v>
      </c>
      <c r="K21" s="20">
        <f>product_data[[#This Row],[Stock]]-SUMIF(sales_data[Product ID],product_data[[#This Row],[Product ID]],sales_data[Quantity Sold])</f>
        <v>11</v>
      </c>
    </row>
    <row r="22" spans="1:11" x14ac:dyDescent="0.3">
      <c r="A22" s="4" t="s">
        <v>67</v>
      </c>
      <c r="B22" s="3" t="s">
        <v>38</v>
      </c>
      <c r="C22" s="3" t="s">
        <v>68</v>
      </c>
      <c r="D22" s="3" t="s">
        <v>12</v>
      </c>
      <c r="E22" s="3" t="s">
        <v>13</v>
      </c>
      <c r="F22" s="20">
        <v>700</v>
      </c>
      <c r="G22" s="20">
        <v>1299</v>
      </c>
      <c r="H22" s="20">
        <f>product_data[[#This Row],[Selling Price]]-product_data[[#This Row],[Cost Price]]</f>
        <v>599</v>
      </c>
      <c r="I22" s="20">
        <v>17</v>
      </c>
      <c r="J22" s="5" t="str">
        <f t="shared" si="0"/>
        <v>OK</v>
      </c>
      <c r="K22" s="20">
        <f>product_data[[#This Row],[Stock]]-SUMIF(sales_data[Product ID],product_data[[#This Row],[Product ID]],sales_data[Quantity Sold])</f>
        <v>14</v>
      </c>
    </row>
    <row r="23" spans="1:11" x14ac:dyDescent="0.3">
      <c r="A23" s="4" t="s">
        <v>69</v>
      </c>
      <c r="B23" s="3" t="s">
        <v>38</v>
      </c>
      <c r="C23" s="3" t="s">
        <v>70</v>
      </c>
      <c r="D23" s="3" t="s">
        <v>16</v>
      </c>
      <c r="E23" s="3" t="s">
        <v>25</v>
      </c>
      <c r="F23" s="20">
        <v>680</v>
      </c>
      <c r="G23" s="20">
        <v>1249</v>
      </c>
      <c r="H23" s="20">
        <f>product_data[[#This Row],[Selling Price]]-product_data[[#This Row],[Cost Price]]</f>
        <v>569</v>
      </c>
      <c r="I23" s="20">
        <v>13</v>
      </c>
      <c r="J23" s="5" t="str">
        <f t="shared" si="0"/>
        <v>OK</v>
      </c>
      <c r="K23" s="20">
        <f>product_data[[#This Row],[Stock]]-SUMIF(sales_data[Product ID],product_data[[#This Row],[Product ID]],sales_data[Quantity Sold])</f>
        <v>11</v>
      </c>
    </row>
    <row r="24" spans="1:11" x14ac:dyDescent="0.3">
      <c r="A24" s="4" t="s">
        <v>71</v>
      </c>
      <c r="B24" s="3" t="s">
        <v>47</v>
      </c>
      <c r="C24" s="3" t="s">
        <v>72</v>
      </c>
      <c r="D24" s="3" t="s">
        <v>20</v>
      </c>
      <c r="E24" s="3" t="s">
        <v>36</v>
      </c>
      <c r="F24" s="20">
        <v>350</v>
      </c>
      <c r="G24" s="20">
        <v>699</v>
      </c>
      <c r="H24" s="20">
        <f>product_data[[#This Row],[Selling Price]]-product_data[[#This Row],[Cost Price]]</f>
        <v>349</v>
      </c>
      <c r="I24" s="20">
        <v>14</v>
      </c>
      <c r="J24" s="5" t="str">
        <f t="shared" si="0"/>
        <v>OK</v>
      </c>
      <c r="K24" s="20">
        <f>product_data[[#This Row],[Stock]]-SUMIF(sales_data[Product ID],product_data[[#This Row],[Product ID]],sales_data[Quantity Sold])</f>
        <v>11</v>
      </c>
    </row>
    <row r="25" spans="1:11" x14ac:dyDescent="0.3">
      <c r="A25" s="4" t="s">
        <v>73</v>
      </c>
      <c r="B25" s="3" t="s">
        <v>47</v>
      </c>
      <c r="C25" s="3" t="s">
        <v>74</v>
      </c>
      <c r="D25" s="3" t="s">
        <v>12</v>
      </c>
      <c r="E25" s="3" t="s">
        <v>21</v>
      </c>
      <c r="F25" s="20">
        <v>150</v>
      </c>
      <c r="G25" s="20">
        <v>299</v>
      </c>
      <c r="H25" s="20">
        <f>product_data[[#This Row],[Selling Price]]-product_data[[#This Row],[Cost Price]]</f>
        <v>149</v>
      </c>
      <c r="I25" s="20">
        <v>60</v>
      </c>
      <c r="J25" s="5" t="str">
        <f t="shared" si="0"/>
        <v>OK</v>
      </c>
      <c r="K25" s="20">
        <f>product_data[[#This Row],[Stock]]-SUMIF(sales_data[Product ID],product_data[[#This Row],[Product ID]],sales_data[Quantity Sold])</f>
        <v>54</v>
      </c>
    </row>
    <row r="26" spans="1:11" x14ac:dyDescent="0.3">
      <c r="A26" s="4" t="s">
        <v>75</v>
      </c>
      <c r="B26" s="3" t="s">
        <v>10</v>
      </c>
      <c r="C26" s="3" t="s">
        <v>76</v>
      </c>
      <c r="D26" s="3" t="s">
        <v>16</v>
      </c>
      <c r="E26" s="3" t="s">
        <v>77</v>
      </c>
      <c r="F26" s="20">
        <v>460</v>
      </c>
      <c r="G26" s="20">
        <v>899</v>
      </c>
      <c r="H26" s="20">
        <f>product_data[[#This Row],[Selling Price]]-product_data[[#This Row],[Cost Price]]</f>
        <v>439</v>
      </c>
      <c r="I26" s="20">
        <v>20</v>
      </c>
      <c r="J26" s="5" t="str">
        <f t="shared" si="0"/>
        <v>OK</v>
      </c>
      <c r="K26" s="20">
        <f>product_data[[#This Row],[Stock]]-SUMIF(sales_data[Product ID],product_data[[#This Row],[Product ID]],sales_data[Quantity Sold])</f>
        <v>17</v>
      </c>
    </row>
    <row r="27" spans="1:11" x14ac:dyDescent="0.3">
      <c r="A27" s="4" t="s">
        <v>78</v>
      </c>
      <c r="B27" s="3" t="s">
        <v>27</v>
      </c>
      <c r="C27" s="3" t="s">
        <v>79</v>
      </c>
      <c r="D27" s="3" t="s">
        <v>20</v>
      </c>
      <c r="E27" s="3" t="s">
        <v>29</v>
      </c>
      <c r="F27" s="20">
        <v>370</v>
      </c>
      <c r="G27" s="20">
        <v>749</v>
      </c>
      <c r="H27" s="20">
        <f>product_data[[#This Row],[Selling Price]]-product_data[[#This Row],[Cost Price]]</f>
        <v>379</v>
      </c>
      <c r="I27" s="20">
        <v>25</v>
      </c>
      <c r="J27" s="5" t="str">
        <f t="shared" si="0"/>
        <v>OK</v>
      </c>
      <c r="K27" s="20">
        <f>product_data[[#This Row],[Stock]]-SUMIF(sales_data[Product ID],product_data[[#This Row],[Product ID]],sales_data[Quantity Sold])</f>
        <v>25</v>
      </c>
    </row>
    <row r="28" spans="1:11" x14ac:dyDescent="0.3">
      <c r="A28" s="4" t="s">
        <v>80</v>
      </c>
      <c r="B28" s="3" t="s">
        <v>38</v>
      </c>
      <c r="C28" s="3" t="s">
        <v>81</v>
      </c>
      <c r="D28" s="3" t="s">
        <v>24</v>
      </c>
      <c r="E28" s="3" t="s">
        <v>13</v>
      </c>
      <c r="F28" s="20">
        <v>690</v>
      </c>
      <c r="G28" s="20">
        <v>1349</v>
      </c>
      <c r="H28" s="20">
        <f>product_data[[#This Row],[Selling Price]]-product_data[[#This Row],[Cost Price]]</f>
        <v>659</v>
      </c>
      <c r="I28" s="20">
        <v>11</v>
      </c>
      <c r="J28" s="5" t="str">
        <f t="shared" si="0"/>
        <v>OK</v>
      </c>
      <c r="K28" s="20">
        <f>product_data[[#This Row],[Stock]]-SUMIF(sales_data[Product ID],product_data[[#This Row],[Product ID]],sales_data[Quantity Sold])</f>
        <v>10</v>
      </c>
    </row>
    <row r="29" spans="1:11" x14ac:dyDescent="0.3">
      <c r="A29" s="4" t="s">
        <v>82</v>
      </c>
      <c r="B29" s="3" t="s">
        <v>47</v>
      </c>
      <c r="C29" s="3" t="s">
        <v>83</v>
      </c>
      <c r="D29" s="3" t="s">
        <v>12</v>
      </c>
      <c r="E29" s="3" t="s">
        <v>13</v>
      </c>
      <c r="F29" s="20">
        <v>280</v>
      </c>
      <c r="G29" s="20">
        <v>549</v>
      </c>
      <c r="H29" s="20">
        <f>product_data[[#This Row],[Selling Price]]-product_data[[#This Row],[Cost Price]]</f>
        <v>269</v>
      </c>
      <c r="I29" s="20">
        <v>22</v>
      </c>
      <c r="J29" s="5" t="str">
        <f t="shared" si="0"/>
        <v>OK</v>
      </c>
      <c r="K29" s="20">
        <f>product_data[[#This Row],[Stock]]-SUMIF(sales_data[Product ID],product_data[[#This Row],[Product ID]],sales_data[Quantity Sold])</f>
        <v>20</v>
      </c>
    </row>
    <row r="30" spans="1:11" x14ac:dyDescent="0.3">
      <c r="A30" s="4" t="s">
        <v>84</v>
      </c>
      <c r="B30" s="3" t="s">
        <v>10</v>
      </c>
      <c r="C30" s="3" t="s">
        <v>85</v>
      </c>
      <c r="D30" s="3" t="s">
        <v>20</v>
      </c>
      <c r="E30" s="3" t="s">
        <v>86</v>
      </c>
      <c r="F30" s="20">
        <v>600</v>
      </c>
      <c r="G30" s="20">
        <v>1199</v>
      </c>
      <c r="H30" s="20">
        <f>product_data[[#This Row],[Selling Price]]-product_data[[#This Row],[Cost Price]]</f>
        <v>599</v>
      </c>
      <c r="I30" s="20">
        <v>9</v>
      </c>
      <c r="J30" s="5" t="str">
        <f t="shared" si="0"/>
        <v>LOW</v>
      </c>
      <c r="K30" s="20">
        <f>product_data[[#This Row],[Stock]]-SUMIF(sales_data[Product ID],product_data[[#This Row],[Product ID]],sales_data[Quantity Sold])</f>
        <v>9</v>
      </c>
    </row>
    <row r="31" spans="1:11" x14ac:dyDescent="0.3">
      <c r="A31" s="9" t="s">
        <v>87</v>
      </c>
      <c r="B31" s="10" t="s">
        <v>27</v>
      </c>
      <c r="C31" s="10" t="s">
        <v>88</v>
      </c>
      <c r="D31" s="10" t="s">
        <v>16</v>
      </c>
      <c r="E31" s="10" t="s">
        <v>49</v>
      </c>
      <c r="F31" s="21">
        <v>310</v>
      </c>
      <c r="G31" s="21">
        <v>649</v>
      </c>
      <c r="H31" s="21">
        <f>product_data[[#This Row],[Selling Price]]-product_data[[#This Row],[Cost Price]]</f>
        <v>339</v>
      </c>
      <c r="I31" s="21">
        <v>27</v>
      </c>
      <c r="J31" s="11" t="str">
        <f t="shared" si="0"/>
        <v>OK</v>
      </c>
      <c r="K31" s="21">
        <f>product_data[[#This Row],[Stock]]-SUMIF(sales_data[Product ID],product_data[[#This Row],[Product ID]],sales_data[Quantity Sold])</f>
        <v>24</v>
      </c>
    </row>
  </sheetData>
  <phoneticPr fontId="4" type="noConversion"/>
  <conditionalFormatting sqref="J2:J31">
    <cfRule type="cellIs" dxfId="0" priority="1" operator="equal">
      <formula>"LOW"</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4C53E-CE5E-4677-A8B8-260070ABDDF0}">
  <dimension ref="A1:W28"/>
  <sheetViews>
    <sheetView zoomScale="92" workbookViewId="0">
      <selection activeCell="W8" sqref="W8"/>
    </sheetView>
  </sheetViews>
  <sheetFormatPr defaultRowHeight="14.4" x14ac:dyDescent="0.3"/>
  <cols>
    <col min="3" max="3" width="5.109375" customWidth="1"/>
    <col min="4" max="4" width="16.33203125" bestFit="1" customWidth="1"/>
    <col min="5" max="5" width="11.44140625" bestFit="1" customWidth="1"/>
    <col min="6" max="6" width="1.44140625" customWidth="1"/>
    <col min="7" max="7" width="14.109375" bestFit="1" customWidth="1"/>
    <col min="8" max="8" width="8.109375" customWidth="1"/>
    <col min="9" max="9" width="1.77734375" customWidth="1"/>
    <col min="15" max="15" width="2" customWidth="1"/>
  </cols>
  <sheetData>
    <row r="1" spans="1:23" ht="14.4" customHeight="1" x14ac:dyDescent="0.3">
      <c r="A1" s="39" t="s">
        <v>126</v>
      </c>
      <c r="B1" s="39"/>
      <c r="C1" s="39"/>
      <c r="D1" s="39"/>
      <c r="E1" s="39"/>
      <c r="F1" s="39"/>
      <c r="G1" s="39"/>
      <c r="H1" s="39"/>
      <c r="I1" s="39"/>
      <c r="J1" s="39"/>
      <c r="K1" s="39"/>
      <c r="L1" s="39"/>
      <c r="M1" s="39"/>
      <c r="N1" s="39"/>
      <c r="O1" s="39"/>
      <c r="P1" s="39"/>
      <c r="Q1" s="39"/>
      <c r="R1" s="39"/>
      <c r="S1" s="39"/>
      <c r="T1" s="39"/>
      <c r="U1" s="39"/>
      <c r="V1" s="31"/>
      <c r="W1" s="31"/>
    </row>
    <row r="2" spans="1:23" ht="14.4" customHeight="1" x14ac:dyDescent="0.3">
      <c r="A2" s="39"/>
      <c r="B2" s="39"/>
      <c r="C2" s="39"/>
      <c r="D2" s="39"/>
      <c r="E2" s="39"/>
      <c r="F2" s="39"/>
      <c r="G2" s="39"/>
      <c r="H2" s="39"/>
      <c r="I2" s="39"/>
      <c r="J2" s="39"/>
      <c r="K2" s="39"/>
      <c r="L2" s="39"/>
      <c r="M2" s="39"/>
      <c r="N2" s="39"/>
      <c r="O2" s="39"/>
      <c r="P2" s="39"/>
      <c r="Q2" s="39"/>
      <c r="R2" s="39"/>
      <c r="S2" s="39"/>
      <c r="T2" s="39"/>
      <c r="U2" s="39"/>
      <c r="V2" s="31"/>
      <c r="W2" s="31"/>
    </row>
    <row r="3" spans="1:23" x14ac:dyDescent="0.3">
      <c r="A3" s="28"/>
      <c r="B3" s="28"/>
      <c r="C3" s="28"/>
      <c r="D3" s="28"/>
      <c r="E3" s="28"/>
      <c r="F3" s="28"/>
      <c r="G3" s="28"/>
      <c r="H3" s="28"/>
      <c r="I3" s="28"/>
      <c r="J3" s="28"/>
      <c r="K3" s="28"/>
      <c r="L3" s="28"/>
      <c r="M3" s="28"/>
      <c r="N3" s="28"/>
      <c r="O3" s="28"/>
      <c r="P3" s="28"/>
      <c r="Q3" s="28"/>
      <c r="R3" s="28"/>
      <c r="S3" s="28"/>
      <c r="T3" s="28"/>
      <c r="U3" s="28"/>
      <c r="V3" s="30"/>
      <c r="W3" s="30"/>
    </row>
    <row r="4" spans="1:23" ht="15.6" x14ac:dyDescent="0.3">
      <c r="A4" s="28"/>
      <c r="B4" s="28"/>
      <c r="C4" s="28"/>
      <c r="D4" s="28"/>
      <c r="E4" s="28"/>
      <c r="F4" s="28"/>
      <c r="G4" s="40" t="s">
        <v>132</v>
      </c>
      <c r="H4" s="41"/>
      <c r="I4" s="28"/>
      <c r="J4" s="28"/>
      <c r="K4" s="28"/>
      <c r="L4" s="28"/>
      <c r="M4" s="28"/>
      <c r="N4" s="28"/>
      <c r="O4" s="28"/>
      <c r="P4" s="28"/>
      <c r="Q4" s="28"/>
      <c r="R4" s="28"/>
      <c r="S4" s="28"/>
      <c r="T4" s="28"/>
      <c r="U4" s="28"/>
      <c r="V4" s="30"/>
      <c r="W4" s="30"/>
    </row>
    <row r="5" spans="1:23" ht="15.6" x14ac:dyDescent="0.3">
      <c r="A5" s="28"/>
      <c r="B5" s="28"/>
      <c r="C5" s="28"/>
      <c r="D5" s="28"/>
      <c r="E5" s="28"/>
      <c r="F5" s="28"/>
      <c r="G5" s="33" t="str">
        <f>pivot!F30</f>
        <v>Item</v>
      </c>
      <c r="H5" s="33" t="str">
        <f>pivot!G30</f>
        <v>Stock</v>
      </c>
      <c r="I5" s="28"/>
      <c r="J5" s="28"/>
      <c r="K5" s="28"/>
      <c r="L5" s="28"/>
      <c r="M5" s="28"/>
      <c r="N5" s="28"/>
      <c r="O5" s="28"/>
      <c r="P5" s="28"/>
      <c r="Q5" s="28"/>
      <c r="R5" s="28"/>
      <c r="S5" s="28"/>
      <c r="T5" s="28"/>
      <c r="U5" s="28"/>
      <c r="V5" s="30"/>
      <c r="W5" s="30"/>
    </row>
    <row r="6" spans="1:23" ht="15.6" x14ac:dyDescent="0.3">
      <c r="A6" s="28"/>
      <c r="B6" s="28"/>
      <c r="C6" s="28"/>
      <c r="D6" s="28"/>
      <c r="E6" s="28"/>
      <c r="F6" s="28"/>
      <c r="G6" s="3" t="str">
        <f>pivot!F31</f>
        <v>Party Kurti</v>
      </c>
      <c r="H6" s="3">
        <f>pivot!G31</f>
        <v>9</v>
      </c>
      <c r="I6" s="28"/>
      <c r="J6" s="28"/>
      <c r="K6" s="28"/>
      <c r="L6" s="28"/>
      <c r="M6" s="28"/>
      <c r="N6" s="28"/>
      <c r="O6" s="28"/>
      <c r="P6" s="28"/>
      <c r="Q6" s="28"/>
      <c r="R6" s="28"/>
      <c r="S6" s="28"/>
      <c r="T6" s="28"/>
      <c r="U6" s="28"/>
      <c r="V6" s="30"/>
      <c r="W6" s="30"/>
    </row>
    <row r="7" spans="1:23" ht="15.6" x14ac:dyDescent="0.3">
      <c r="A7" s="28"/>
      <c r="B7" s="28"/>
      <c r="C7" s="28"/>
      <c r="D7" s="28"/>
      <c r="E7" s="28"/>
      <c r="F7" s="28"/>
      <c r="G7" s="3" t="str">
        <f>pivot!F32</f>
        <v>Designer Kurti</v>
      </c>
      <c r="H7" s="3">
        <f>pivot!G32</f>
        <v>7</v>
      </c>
      <c r="I7" s="28"/>
      <c r="J7" s="28"/>
      <c r="K7" s="28"/>
      <c r="L7" s="28"/>
      <c r="M7" s="28"/>
      <c r="N7" s="28"/>
      <c r="O7" s="28"/>
      <c r="P7" s="28"/>
      <c r="Q7" s="28"/>
      <c r="R7" s="28"/>
      <c r="S7" s="28"/>
      <c r="T7" s="28"/>
      <c r="U7" s="28"/>
      <c r="V7" s="30"/>
      <c r="W7" s="30"/>
    </row>
    <row r="8" spans="1:23" ht="18" x14ac:dyDescent="0.35">
      <c r="A8" s="28"/>
      <c r="B8" s="28"/>
      <c r="C8" s="28"/>
      <c r="D8" s="37" t="str">
        <f>pivot!H3</f>
        <v>Total Revenue</v>
      </c>
      <c r="E8" s="38" t="str">
        <f>pivot!H7</f>
        <v>Total Sold</v>
      </c>
      <c r="F8" s="35"/>
      <c r="G8" s="3" t="str">
        <f>pivot!F33</f>
        <v>Regular Jeans</v>
      </c>
      <c r="H8" s="3">
        <f>pivot!G33</f>
        <v>4</v>
      </c>
      <c r="I8" s="28"/>
      <c r="J8" s="28"/>
      <c r="K8" s="28"/>
      <c r="L8" s="28"/>
      <c r="M8" s="28"/>
      <c r="N8" s="28"/>
      <c r="O8" s="28"/>
      <c r="P8" s="28"/>
      <c r="Q8" s="28"/>
      <c r="R8" s="28"/>
      <c r="S8" s="28"/>
      <c r="T8" s="28"/>
      <c r="U8" s="28"/>
      <c r="V8" s="30"/>
      <c r="W8" s="30"/>
    </row>
    <row r="9" spans="1:23" ht="18" x14ac:dyDescent="0.35">
      <c r="A9" s="28"/>
      <c r="B9" s="28"/>
      <c r="C9" s="28"/>
      <c r="D9" s="37">
        <f>pivot!H4</f>
        <v>73709</v>
      </c>
      <c r="E9" s="38">
        <f>pivot!H8</f>
        <v>91</v>
      </c>
      <c r="F9" s="36"/>
      <c r="G9" s="3" t="str">
        <f>pivot!F34</f>
        <v>Denim Shirt</v>
      </c>
      <c r="H9" s="3">
        <f>pivot!G34</f>
        <v>3</v>
      </c>
      <c r="I9" s="28"/>
      <c r="J9" s="28"/>
      <c r="K9" s="28"/>
      <c r="L9" s="28"/>
      <c r="M9" s="28"/>
      <c r="N9" s="28"/>
      <c r="O9" s="28"/>
      <c r="P9" s="28"/>
      <c r="Q9" s="28"/>
      <c r="R9" s="28"/>
      <c r="S9" s="28"/>
      <c r="T9" s="28"/>
      <c r="U9" s="28"/>
      <c r="V9" s="30"/>
      <c r="W9" s="30"/>
    </row>
    <row r="10" spans="1:23" x14ac:dyDescent="0.3">
      <c r="A10" s="28"/>
      <c r="B10" s="28"/>
      <c r="C10" s="28"/>
      <c r="D10" s="28"/>
      <c r="E10" s="28"/>
      <c r="F10" s="28"/>
      <c r="G10" s="28"/>
      <c r="H10" s="28"/>
      <c r="I10" s="28"/>
      <c r="J10" s="28"/>
      <c r="K10" s="28"/>
      <c r="L10" s="28"/>
      <c r="M10" s="28"/>
      <c r="N10" s="28"/>
      <c r="O10" s="28"/>
      <c r="P10" s="28"/>
      <c r="Q10" s="28"/>
      <c r="R10" s="28"/>
      <c r="S10" s="28"/>
      <c r="T10" s="28"/>
      <c r="U10" s="28"/>
      <c r="V10" s="30"/>
      <c r="W10" s="30"/>
    </row>
    <row r="11" spans="1:23" x14ac:dyDescent="0.3">
      <c r="A11" s="28"/>
      <c r="B11" s="28"/>
      <c r="C11" s="28"/>
      <c r="D11" s="28"/>
      <c r="E11" s="28"/>
      <c r="F11" s="28"/>
      <c r="G11" s="28"/>
      <c r="H11" s="28"/>
      <c r="I11" s="28"/>
      <c r="J11" s="28"/>
      <c r="K11" s="28"/>
      <c r="L11" s="28"/>
      <c r="M11" s="28"/>
      <c r="N11" s="28"/>
      <c r="O11" s="28"/>
      <c r="P11" s="28"/>
      <c r="Q11" s="28"/>
      <c r="R11" s="28"/>
      <c r="S11" s="28"/>
      <c r="T11" s="28"/>
      <c r="U11" s="28"/>
      <c r="V11" s="30"/>
      <c r="W11" s="30"/>
    </row>
    <row r="12" spans="1:23" x14ac:dyDescent="0.3">
      <c r="A12" s="28"/>
      <c r="B12" s="28"/>
      <c r="C12" s="28"/>
      <c r="D12" s="28"/>
      <c r="E12" s="28"/>
      <c r="F12" s="28"/>
      <c r="G12" s="28"/>
      <c r="H12" s="28"/>
      <c r="I12" s="28"/>
      <c r="J12" s="28"/>
      <c r="K12" s="28"/>
      <c r="L12" s="28"/>
      <c r="M12" s="28"/>
      <c r="N12" s="28"/>
      <c r="O12" s="28"/>
      <c r="P12" s="28"/>
      <c r="Q12" s="28"/>
      <c r="R12" s="28"/>
      <c r="S12" s="28"/>
      <c r="T12" s="28"/>
      <c r="U12" s="28"/>
      <c r="V12" s="30"/>
      <c r="W12" s="30"/>
    </row>
    <row r="13" spans="1:23" x14ac:dyDescent="0.3">
      <c r="A13" s="28"/>
      <c r="B13" s="28"/>
      <c r="C13" s="28"/>
      <c r="D13" s="28"/>
      <c r="E13" s="28"/>
      <c r="F13" s="28"/>
      <c r="G13" s="28"/>
      <c r="H13" s="28"/>
      <c r="I13" s="28"/>
      <c r="J13" s="28"/>
      <c r="K13" s="28"/>
      <c r="L13" s="28"/>
      <c r="M13" s="28"/>
      <c r="N13" s="28"/>
      <c r="O13" s="28"/>
      <c r="P13" s="28"/>
      <c r="Q13" s="28"/>
      <c r="R13" s="28"/>
      <c r="S13" s="28"/>
      <c r="T13" s="28"/>
      <c r="U13" s="28"/>
      <c r="V13" s="30"/>
      <c r="W13" s="30"/>
    </row>
    <row r="14" spans="1:23" x14ac:dyDescent="0.3">
      <c r="A14" s="28"/>
      <c r="B14" s="28"/>
      <c r="C14" s="28"/>
      <c r="D14" s="28"/>
      <c r="E14" s="28"/>
      <c r="F14" s="28"/>
      <c r="G14" s="28"/>
      <c r="H14" s="28"/>
      <c r="I14" s="28"/>
      <c r="J14" s="28"/>
      <c r="K14" s="28"/>
      <c r="L14" s="28"/>
      <c r="M14" s="28"/>
      <c r="N14" s="28"/>
      <c r="O14" s="28"/>
      <c r="P14" s="28"/>
      <c r="Q14" s="28"/>
      <c r="R14" s="28"/>
      <c r="S14" s="28"/>
      <c r="T14" s="28"/>
      <c r="U14" s="28"/>
      <c r="V14" s="30"/>
      <c r="W14" s="30"/>
    </row>
    <row r="15" spans="1:23" x14ac:dyDescent="0.3">
      <c r="A15" s="28"/>
      <c r="B15" s="28"/>
      <c r="C15" s="28"/>
      <c r="D15" s="28"/>
      <c r="E15" s="28"/>
      <c r="F15" s="28"/>
      <c r="G15" s="28"/>
      <c r="H15" s="28"/>
      <c r="I15" s="28"/>
      <c r="J15" s="28"/>
      <c r="K15" s="28"/>
      <c r="L15" s="28"/>
      <c r="M15" s="28"/>
      <c r="N15" s="28"/>
      <c r="O15" s="28"/>
      <c r="P15" s="28"/>
      <c r="Q15" s="28"/>
      <c r="R15" s="28"/>
      <c r="S15" s="28"/>
      <c r="T15" s="28"/>
      <c r="U15" s="28"/>
      <c r="V15" s="30"/>
      <c r="W15" s="30"/>
    </row>
    <row r="16" spans="1:23" x14ac:dyDescent="0.3">
      <c r="A16" s="28"/>
      <c r="B16" s="28"/>
      <c r="C16" s="28"/>
      <c r="D16" s="28"/>
      <c r="E16" s="28"/>
      <c r="F16" s="28"/>
      <c r="G16" s="28"/>
      <c r="H16" s="28"/>
      <c r="I16" s="28"/>
      <c r="J16" s="28"/>
      <c r="K16" s="28"/>
      <c r="L16" s="28"/>
      <c r="M16" s="28"/>
      <c r="N16" s="28"/>
      <c r="O16" s="28"/>
      <c r="P16" s="28"/>
      <c r="Q16" s="28"/>
      <c r="R16" s="28"/>
      <c r="S16" s="28"/>
      <c r="T16" s="28"/>
      <c r="U16" s="28"/>
      <c r="V16" s="30"/>
      <c r="W16" s="30"/>
    </row>
    <row r="17" spans="1:23" x14ac:dyDescent="0.3">
      <c r="A17" s="28"/>
      <c r="B17" s="28"/>
      <c r="C17" s="28"/>
      <c r="D17" s="28"/>
      <c r="E17" s="32"/>
      <c r="F17" s="32"/>
      <c r="G17" s="28"/>
      <c r="H17" s="28"/>
      <c r="I17" s="28"/>
      <c r="J17" s="28"/>
      <c r="K17" s="28"/>
      <c r="L17" s="28"/>
      <c r="M17" s="28"/>
      <c r="N17" s="28"/>
      <c r="O17" s="28"/>
      <c r="P17" s="28"/>
      <c r="Q17" s="28"/>
      <c r="R17" s="28"/>
      <c r="S17" s="28"/>
      <c r="T17" s="28"/>
      <c r="U17" s="28"/>
      <c r="V17" s="30"/>
      <c r="W17" s="30"/>
    </row>
    <row r="18" spans="1:23" x14ac:dyDescent="0.3">
      <c r="A18" s="28"/>
      <c r="B18" s="28"/>
      <c r="C18" s="28"/>
      <c r="D18" s="28"/>
      <c r="E18" s="29"/>
      <c r="F18" s="29"/>
      <c r="G18" s="28"/>
      <c r="H18" s="28"/>
      <c r="I18" s="28"/>
      <c r="J18" s="28"/>
      <c r="K18" s="28"/>
      <c r="L18" s="28"/>
      <c r="M18" s="28"/>
      <c r="N18" s="28"/>
      <c r="O18" s="28"/>
      <c r="P18" s="28"/>
      <c r="Q18" s="28"/>
      <c r="R18" s="28"/>
      <c r="S18" s="28"/>
      <c r="T18" s="28"/>
      <c r="U18" s="28"/>
      <c r="V18" s="30"/>
      <c r="W18" s="30"/>
    </row>
    <row r="19" spans="1:23" x14ac:dyDescent="0.3">
      <c r="A19" s="28"/>
      <c r="B19" s="28"/>
      <c r="C19" s="28"/>
      <c r="D19" s="28"/>
      <c r="E19" s="29"/>
      <c r="F19" s="29"/>
      <c r="G19" s="28"/>
      <c r="H19" s="28"/>
      <c r="I19" s="28"/>
      <c r="J19" s="28"/>
      <c r="K19" s="28"/>
      <c r="L19" s="28"/>
      <c r="M19" s="28"/>
      <c r="N19" s="28"/>
      <c r="O19" s="28"/>
      <c r="P19" s="28"/>
      <c r="Q19" s="28"/>
      <c r="R19" s="28"/>
      <c r="S19" s="28"/>
      <c r="T19" s="28"/>
      <c r="U19" s="28"/>
      <c r="V19" s="30"/>
      <c r="W19" s="30"/>
    </row>
    <row r="20" spans="1:23" x14ac:dyDescent="0.3">
      <c r="A20" s="28"/>
      <c r="B20" s="28"/>
      <c r="C20" s="28"/>
      <c r="D20" s="28"/>
      <c r="E20" s="29"/>
      <c r="F20" s="29"/>
      <c r="G20" s="28"/>
      <c r="H20" s="28"/>
      <c r="I20" s="28"/>
      <c r="J20" s="28"/>
      <c r="K20" s="28"/>
      <c r="L20" s="28"/>
      <c r="M20" s="28"/>
      <c r="N20" s="28"/>
      <c r="O20" s="28"/>
      <c r="P20" s="28"/>
      <c r="Q20" s="28"/>
      <c r="R20" s="28"/>
      <c r="S20" s="28"/>
      <c r="T20" s="28"/>
      <c r="U20" s="28"/>
      <c r="V20" s="30"/>
      <c r="W20" s="30"/>
    </row>
    <row r="21" spans="1:23" x14ac:dyDescent="0.3">
      <c r="A21" s="28"/>
      <c r="B21" s="28"/>
      <c r="C21" s="28"/>
      <c r="D21" s="28"/>
      <c r="E21" s="29"/>
      <c r="F21" s="29"/>
      <c r="G21" s="28"/>
      <c r="H21" s="28"/>
      <c r="I21" s="28"/>
      <c r="J21" s="28"/>
      <c r="K21" s="28"/>
      <c r="L21" s="28"/>
      <c r="M21" s="28"/>
      <c r="N21" s="28"/>
      <c r="O21" s="28"/>
      <c r="P21" s="28"/>
      <c r="Q21" s="28"/>
      <c r="R21" s="28"/>
      <c r="S21" s="28"/>
      <c r="T21" s="28"/>
      <c r="U21" s="28"/>
      <c r="V21" s="30"/>
      <c r="W21" s="30"/>
    </row>
    <row r="22" spans="1:23" x14ac:dyDescent="0.3">
      <c r="A22" s="28"/>
      <c r="B22" s="28"/>
      <c r="C22" s="28"/>
      <c r="D22" s="28"/>
      <c r="E22" s="28"/>
      <c r="F22" s="28"/>
      <c r="G22" s="28"/>
      <c r="H22" s="28"/>
      <c r="I22" s="28"/>
      <c r="J22" s="28"/>
      <c r="K22" s="28"/>
      <c r="L22" s="28"/>
      <c r="M22" s="28"/>
      <c r="N22" s="28"/>
      <c r="O22" s="28"/>
      <c r="P22" s="28"/>
      <c r="Q22" s="28"/>
      <c r="R22" s="28"/>
      <c r="S22" s="28"/>
      <c r="T22" s="28"/>
      <c r="U22" s="28"/>
      <c r="V22" s="30"/>
      <c r="W22" s="30"/>
    </row>
    <row r="23" spans="1:23" x14ac:dyDescent="0.3">
      <c r="A23" s="28"/>
      <c r="B23" s="28"/>
      <c r="C23" s="28"/>
      <c r="D23" s="28"/>
      <c r="E23" s="28"/>
      <c r="F23" s="28"/>
      <c r="G23" s="28"/>
      <c r="H23" s="28"/>
      <c r="I23" s="28"/>
      <c r="J23" s="28"/>
      <c r="K23" s="28"/>
      <c r="L23" s="28"/>
      <c r="M23" s="28"/>
      <c r="N23" s="28"/>
      <c r="O23" s="28"/>
      <c r="P23" s="28"/>
      <c r="Q23" s="28"/>
      <c r="R23" s="28"/>
      <c r="S23" s="28"/>
      <c r="T23" s="28"/>
      <c r="U23" s="28"/>
      <c r="V23" s="30"/>
      <c r="W23" s="30"/>
    </row>
    <row r="24" spans="1:23" x14ac:dyDescent="0.3">
      <c r="A24" s="28"/>
      <c r="B24" s="28"/>
      <c r="C24" s="28"/>
      <c r="D24" s="28"/>
      <c r="E24" s="28"/>
      <c r="F24" s="28"/>
      <c r="G24" s="28"/>
      <c r="H24" s="28"/>
      <c r="I24" s="28"/>
      <c r="J24" s="28"/>
      <c r="K24" s="28"/>
      <c r="L24" s="28"/>
      <c r="M24" s="28"/>
      <c r="N24" s="28"/>
      <c r="O24" s="28"/>
      <c r="P24" s="28"/>
      <c r="Q24" s="28"/>
      <c r="R24" s="28"/>
      <c r="S24" s="28"/>
      <c r="T24" s="28"/>
      <c r="U24" s="28"/>
      <c r="V24" s="30"/>
      <c r="W24" s="30"/>
    </row>
    <row r="25" spans="1:23" x14ac:dyDescent="0.3">
      <c r="A25" s="28"/>
      <c r="B25" s="28"/>
      <c r="C25" s="28"/>
      <c r="D25" s="28"/>
      <c r="E25" s="28"/>
      <c r="F25" s="28"/>
      <c r="G25" s="28"/>
      <c r="H25" s="28"/>
      <c r="I25" s="28"/>
      <c r="J25" s="28"/>
      <c r="K25" s="28"/>
      <c r="L25" s="28"/>
      <c r="M25" s="28"/>
      <c r="N25" s="28"/>
      <c r="O25" s="28"/>
      <c r="P25" s="28"/>
      <c r="Q25" s="28"/>
      <c r="R25" s="28"/>
      <c r="S25" s="28"/>
      <c r="T25" s="28"/>
      <c r="U25" s="28"/>
      <c r="V25" s="30"/>
      <c r="W25" s="30"/>
    </row>
    <row r="26" spans="1:23" x14ac:dyDescent="0.3">
      <c r="A26" s="28"/>
      <c r="B26" s="28"/>
      <c r="C26" s="28"/>
      <c r="D26" s="28"/>
      <c r="E26" s="28"/>
      <c r="F26" s="28"/>
      <c r="G26" s="28"/>
      <c r="H26" s="28"/>
      <c r="I26" s="28"/>
      <c r="J26" s="28"/>
      <c r="K26" s="28"/>
      <c r="L26" s="28"/>
      <c r="M26" s="28"/>
      <c r="N26" s="28"/>
      <c r="O26" s="28"/>
      <c r="P26" s="28"/>
      <c r="Q26" s="28"/>
      <c r="R26" s="28"/>
      <c r="S26" s="28"/>
      <c r="T26" s="28"/>
      <c r="U26" s="28"/>
      <c r="V26" s="30"/>
      <c r="W26" s="30"/>
    </row>
    <row r="27" spans="1:23" x14ac:dyDescent="0.3">
      <c r="A27" s="28"/>
      <c r="B27" s="28"/>
      <c r="C27" s="28"/>
      <c r="D27" s="28"/>
      <c r="E27" s="28"/>
      <c r="F27" s="28"/>
      <c r="G27" s="28"/>
      <c r="H27" s="28"/>
      <c r="I27" s="28"/>
      <c r="J27" s="28"/>
      <c r="K27" s="28"/>
      <c r="L27" s="28"/>
      <c r="M27" s="28"/>
      <c r="N27" s="28"/>
      <c r="O27" s="28"/>
      <c r="P27" s="28"/>
      <c r="Q27" s="28"/>
      <c r="R27" s="28"/>
      <c r="S27" s="28"/>
      <c r="T27" s="28"/>
      <c r="U27" s="28"/>
      <c r="V27" s="30"/>
      <c r="W27" s="30"/>
    </row>
    <row r="28" spans="1:23" x14ac:dyDescent="0.3">
      <c r="A28" s="28"/>
      <c r="B28" s="28"/>
      <c r="C28" s="28"/>
      <c r="D28" s="28"/>
      <c r="E28" s="28"/>
      <c r="F28" s="28"/>
      <c r="G28" s="28"/>
      <c r="H28" s="28"/>
      <c r="I28" s="28"/>
      <c r="J28" s="28"/>
      <c r="K28" s="28"/>
      <c r="L28" s="28"/>
      <c r="M28" s="28"/>
      <c r="N28" s="28"/>
      <c r="O28" s="28"/>
      <c r="P28" s="28"/>
      <c r="Q28" s="28"/>
      <c r="R28" s="28"/>
      <c r="S28" s="28"/>
      <c r="T28" s="28"/>
      <c r="U28" s="28"/>
      <c r="V28" s="30"/>
      <c r="W28" s="30"/>
    </row>
  </sheetData>
  <mergeCells count="2">
    <mergeCell ref="A1:U2"/>
    <mergeCell ref="G4: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sales_entry</vt:lpstr>
      <vt:lpstr>pivot</vt:lpstr>
      <vt:lpstr>product_data</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Gupta</cp:lastModifiedBy>
  <dcterms:created xsi:type="dcterms:W3CDTF">2026-02-08T14:37:45Z</dcterms:created>
  <dcterms:modified xsi:type="dcterms:W3CDTF">2026-02-11T06:42:22Z</dcterms:modified>
</cp:coreProperties>
</file>